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Інструкція" sheetId="1" state="visible" r:id="rId3"/>
    <sheet name="Водоканал" sheetId="2" state="visible" r:id="rId4"/>
    <sheet name="Банк" sheetId="3" state="visible" r:id="rId5"/>
    <sheet name="Лікарня" sheetId="4" state="visible" r:id="rId6"/>
    <sheet name="Агрокомпанія" sheetId="5" state="visible" r:id="rId7"/>
    <sheet name="Рецензії" sheetId="6" state="visible" r:id="rId8"/>
    <sheet name="Довідники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<sst xmlns="http://schemas.openxmlformats.org/spreadsheetml/2006/main" count="580" uniqueCount="292">
  <si>
    <t xml:space="preserve">Заняття 2 · ДЗ-2: профіль загроз і перелік гіпотез клієнта</t>
  </si>
  <si>
    <t xml:space="preserve">Строк: 20:00 напередодні заняття 3 · орієнтовно 1 година</t>
  </si>
  <si>
    <t xml:space="preserve">Завдання</t>
  </si>
  <si>
    <t xml:space="preserve">Кожен у парі пише 3 гіпотези про свого клієнта — разом 6. Працюйте на вкладці свого клієнта (п’ята пара — на вкладці «Борей Системс»).</t>
  </si>
  <si>
    <t xml:space="preserve">Порядок</t>
  </si>
  <si>
    <t xml:space="preserve">1) Прочитайте опис клієнта і зразок. 2) Заповніть профіль загроз (на занятті). 3) Запишіть свої 3 гіпотези за ABLE і поставте бали. 4) Напишіть рецензію на вкладці «Рецензії».</t>
  </si>
  <si>
    <t xml:space="preserve">Умови на пару</t>
  </si>
  <si>
    <t xml:space="preserve">Щонайменше 3 різні джерела · щонайменше 1 гіпотеза про канал «Борея» · для гіпотези з найвищим пріоритетом — одне речення, чому вона перша.</t>
  </si>
  <si>
    <t xml:space="preserve">ABLE</t>
  </si>
  <si>
    <t xml:space="preserve">A — чия поведінка (кластер або «невідомо») · B — одна-дві конкретні дії · L — де в клієнта лишаться сліди · E — який журнал і як це виглядатиме.</t>
  </si>
  <si>
    <t xml:space="preserve">Рецензія</t>
  </si>
  <si>
    <t xml:space="preserve">Оберіть одну гіпотезу свого відповідника в наступній парі (Водоканал → Лікарня → Агрокомпанія → Банк → Борей Системс → Водоканал; перший — першого, другий — другого) і напишіть два пункти: найслабше місце й питання без відповіді.</t>
  </si>
  <si>
    <t xml:space="preserve">Телеметрія</t>
  </si>
  <si>
    <t xml:space="preserve">Бал телеметрії ставте за описом клієнта («журнал є»). На занятті 4 ми перевіримо, що в цих журналах насправді записується, і бали зміняться — так задумано.</t>
  </si>
  <si>
    <t xml:space="preserve">Клітинки</t>
  </si>
  <si>
    <t xml:space="preserve">Заповнюєте світло-жовті. Сума, пріоритет і «Перевірка» рахуються самі.</t>
  </si>
  <si>
    <t xml:space="preserve">Матриця пріоритизації (1–3 за кожен чинник; сума до 12)</t>
  </si>
  <si>
    <t xml:space="preserve">Чинник</t>
  </si>
  <si>
    <t xml:space="preserve">1</t>
  </si>
  <si>
    <t xml:space="preserve">2</t>
  </si>
  <si>
    <t xml:space="preserve">3</t>
  </si>
  <si>
    <t xml:space="preserve">Ймовірність</t>
  </si>
  <si>
    <t xml:space="preserve">Не характерна для профілю клієнта</t>
  </si>
  <si>
    <t xml:space="preserve">Трапляється</t>
  </si>
  <si>
    <t xml:space="preserve">У свіжих звітах щодо галузі клієнта</t>
  </si>
  <si>
    <t xml:space="preserve">Вплив</t>
  </si>
  <si>
    <t xml:space="preserve">Обмежений одним вузлом</t>
  </si>
  <si>
    <t xml:space="preserve">Уражає підрозділ або дані</t>
  </si>
  <si>
    <t xml:space="preserve">Зупиняє діяльність</t>
  </si>
  <si>
    <t xml:space="preserve">Даних немає</t>
  </si>
  <si>
    <t xml:space="preserve">Дані часткові</t>
  </si>
  <si>
    <t xml:space="preserve">Дані повні й доступні</t>
  </si>
  <si>
    <t xml:space="preserve">Вартість перевірки</t>
  </si>
  <si>
    <t xml:space="preserve">Понад робочий день</t>
  </si>
  <si>
    <t xml:space="preserve">Кілька годин</t>
  </si>
  <si>
    <t xml:space="preserve">До години</t>
  </si>
  <si>
    <t xml:space="preserve">Високий вплив при телеметрії 1 — не викреслювати: це кандидат на запит про розширення збору (заняття 4).</t>
  </si>
  <si>
    <t xml:space="preserve">Загальні посилання</t>
  </si>
  <si>
    <t xml:space="preserve">PEAK — методологія курсу, звідки ABLE</t>
  </si>
  <si>
    <t xml:space="preserve">https://www.splunk.com/en_us/blog/security/peak-threat-hunting-framework.html</t>
  </si>
  <si>
    <t xml:space="preserve">THOR Collective, HEARTH — відкриті приклади гіпотез</t>
  </si>
  <si>
    <t xml:space="preserve">https://github.com/THORCollective/HEARTH</t>
  </si>
  <si>
    <t xml:space="preserve">Водоканал — КП «Ясногірськводоканал»</t>
  </si>
  <si>
    <t xml:space="preserve">Комунальне підприємство водопостачання й водовідведення</t>
  </si>
  <si>
    <t xml:space="preserve">Група (імена)</t>
  </si>
  <si>
    <t xml:space="preserve">Рожелюк, Вікторов, Лапухов</t>
  </si>
  <si>
    <t xml:space="preserve">Клієнт і його середовище (додаток Б). Чого в описі немає — вважайте, що немає, або запишіть як припущення</t>
  </si>
  <si>
    <t xml:space="preserve">Масштаб</t>
  </si>
  <si>
    <t xml:space="preserve">Близько 250 працівників. Головна будівля, шість насосних станцій, очисні споруди</t>
  </si>
  <si>
    <t xml:space="preserve">Що найцінніше</t>
  </si>
  <si>
    <t xml:space="preserve">Безперебійне водопостачання: зупинка насосів на добу залишає місто без води</t>
  </si>
  <si>
    <t xml:space="preserve">Мережа</t>
  </si>
  <si>
    <t xml:space="preserve">Один комутатор ядра. Технологічний сегмент (чотири робочі місця диспетчерів і сервер керування насосами) відокремлений лише номінально: фактично досяжний з офісної мережі</t>
  </si>
  <si>
    <t xml:space="preserve">Робочі станції й сервери</t>
  </si>
  <si>
    <t xml:space="preserve">Близько 120 комп’ютерів з Windows; контролер домену; файловий сервер, на якому також працює бухгалтерія. Пошта — у хмарному сервісі</t>
  </si>
  <si>
    <t xml:space="preserve">Захист кінцевих точок</t>
  </si>
  <si>
    <t xml:space="preserve">Антивірус без центральної консолі. Розширеної телеметрії немає взагалі</t>
  </si>
  <si>
    <t xml:space="preserve">Мобільні пристрої</t>
  </si>
  <si>
    <t xml:space="preserve">Службових немає. Особисті телефони — в тій самій Wi-Fi-мережі, що й робочі комп’ютери, з одним паролем</t>
  </si>
  <si>
    <t xml:space="preserve">Відеонагляд</t>
  </si>
  <si>
    <t xml:space="preserve">Камери Dahua на насосних станціях; перегляд через хмарний застосунок виробника</t>
  </si>
  <si>
    <t xml:space="preserve">Сайт і зовнішні сервіси</t>
  </si>
  <si>
    <t xml:space="preserve">Простий сайт на спільному хостингу; підтримує стороння студія</t>
  </si>
  <si>
    <t xml:space="preserve">Віддалений доступ</t>
  </si>
  <si>
    <t xml:space="preserve">Підрядник «Борей Системс», що обслуговує систему керування насосами, заходить через програму віддаленого доступу на робоче місце диспетчера</t>
  </si>
  <si>
    <t xml:space="preserve">Журнали й строки</t>
  </si>
  <si>
    <t xml:space="preserve">Централізованого збирання немає. Журнали лише на самих комп’ютерах, затираються за кілька днів. Брандмауер журналів не зберігає</t>
  </si>
  <si>
    <t xml:space="preserve">Адміністрування</t>
  </si>
  <si>
    <t xml:space="preserve">Двоє адміністраторів; обидва щодня працюють під обліковими записами адміністраторів домену, зокрема читають пошту</t>
  </si>
  <si>
    <t xml:space="preserve">Резервні копії</t>
  </si>
  <si>
    <t xml:space="preserve">На тому самому файловому сервері</t>
  </si>
  <si>
    <t xml:space="preserve">Канал «Борея»</t>
  </si>
  <si>
    <t xml:space="preserve">Обслуговування робочих станцій і системи керування насосами; входить програмою віддаленого доступу на робоче місце диспетчера</t>
  </si>
  <si>
    <t xml:space="preserve">Що почитати</t>
  </si>
  <si>
    <t xml:space="preserve">Звіти CERT-UA</t>
  </si>
  <si>
    <t xml:space="preserve">https://cert.gov.ua/</t>
  </si>
  <si>
    <t xml:space="preserve">Sandworm проти енерго-, водо- й теплопостачання України, 2024</t>
  </si>
  <si>
    <t xml:space="preserve">https://www.bleepingcomputer.com/news/security/russian-sandworm-hackers-targeted-20-critical-orgs-in-ukraine/</t>
  </si>
  <si>
    <t xml:space="preserve">CERT-UA про доступ постачальників ПЗ для підтримки як канал атаки, 2024</t>
  </si>
  <si>
    <t xml:space="preserve">https://industrialcyber.co/critical-infrastructure/ukrainian-cert-details-malicious-plan-by-sandworm-group-to-disrupt-critical-infrastructure-facilities/</t>
  </si>
  <si>
    <t xml:space="preserve">Атака на комунальне підприємство Stadtwerke Landsberg, 2026 (ДЗ-1)</t>
  </si>
  <si>
    <t xml:space="preserve">https://www.tdworld.com/smart-utility/grid-security/news/55403973/cyberattack-on-german-public-utility-highlights-broader-resiliency-landscape-of-regional-power-infrastructure</t>
  </si>
  <si>
    <t xml:space="preserve">Профіль загроз (на занятті, 15 хв)</t>
  </si>
  <si>
    <t xml:space="preserve">Питання</t>
  </si>
  <si>
    <t xml:space="preserve">Відповідь</t>
  </si>
  <si>
    <t xml:space="preserve">З якого джерела</t>
  </si>
  <si>
    <t xml:space="preserve">Що ми становимо як ціль?</t>
  </si>
  <si>
    <t xml:space="preserve">Насосні станції. Файловий сервер. </t>
  </si>
  <si>
    <t xml:space="preserve">Клієнт і його середовище (додаток Б)</t>
  </si>
  <si>
    <t xml:space="preserve">Що станеться, якщо діяльність зупиниться на добу?</t>
  </si>
  <si>
    <t xml:space="preserve">Залежно від цілі загрози, якщо на насоси то може виникнути природня катастрофа. 
Якщо на файловий сервер то особливої проблеми із зупиннкою роботи не буде</t>
  </si>
  <si>
    <t xml:space="preserve">Хто діє проти організацій такого типу?</t>
  </si>
  <si>
    <t xml:space="preserve">росіяни. APT-44</t>
  </si>
  <si>
    <t xml:space="preserve">З чого зазвичай починається проникнення?</t>
  </si>
  <si>
    <t xml:space="preserve">Збір відкритих даних. Фішинг на мейл адреси. 
Особисті телефони — в тій самій Wi-Fi-мережі, що й робочі комп’ютери, з одним паролем</t>
  </si>
  <si>
    <t xml:space="preserve">Що нам загрожує через постачальника «Борей»?</t>
  </si>
  <si>
    <t xml:space="preserve">Якщо скомпрементують мережу та відаленний доступ Борей, і витягнуть дані. 
То можливий RDP під'єднання до комп'юетрів диспетичерів. </t>
  </si>
  <si>
    <t xml:space="preserve">Зразок: дві готові гіпотези з балами (у вашу шістку не входять; можна взяти за основу, переписавши місце й свідчення)</t>
  </si>
  <si>
    <t xml:space="preserve">№</t>
  </si>
  <si>
    <t xml:space="preserve">Автор</t>
  </si>
  <si>
    <t xml:space="preserve">Джерело</t>
  </si>
  <si>
    <t xml:space="preserve">A — суб’єкт</t>
  </si>
  <si>
    <t xml:space="preserve">B — поведінка</t>
  </si>
  <si>
    <t xml:space="preserve">L — місце</t>
  </si>
  <si>
    <t xml:space="preserve">E — свідчення</t>
  </si>
  <si>
    <t xml:space="preserve">Якщо нічого не знайдемо, маємо право стверджувати… (за бажанням)</t>
  </si>
  <si>
    <t xml:space="preserve">Ймовір-ність</t>
  </si>
  <si>
    <t xml:space="preserve">Теле-метрія</t>
  </si>
  <si>
    <t xml:space="preserve">Вартість</t>
  </si>
  <si>
    <t xml:space="preserve">Сума</t>
  </si>
  <si>
    <t xml:space="preserve">Пріо-ритет</t>
  </si>
  <si>
    <t xml:space="preserve">Обґрунтування (для найвищої)</t>
  </si>
  <si>
    <t xml:space="preserve">Про канал «Борея»?</t>
  </si>
  <si>
    <t xml:space="preserve">З1</t>
  </si>
  <si>
    <t xml:space="preserve">Зразок</t>
  </si>
  <si>
    <t xml:space="preserve">Критичні активи</t>
  </si>
  <si>
    <t xml:space="preserve">Невідомо</t>
  </si>
  <si>
    <t xml:space="preserve">Сеанс програми віддаленого доступу на робочому місці диспетчера поза погодженими вікнами обслуговування</t>
  </si>
  <si>
    <t xml:space="preserve">Робоче місце диспетчера системи керування насосами</t>
  </si>
  <si>
    <t xml:space="preserve">Журнал самої програми віддаленого доступу на цьому комп’ютері; інших журналів майже немає</t>
  </si>
  <si>
    <t xml:space="preserve">Вплив найвищий (насоси). Телеметрію оцінено за описом: журнали лише на самому комп’ютері й затираються за кілька днів — тому 1. Що в них насправді записується, перевіримо на занятті 4. Така гіпотеза не викреслюється.</t>
  </si>
  <si>
    <t xml:space="preserve">так</t>
  </si>
  <si>
    <t xml:space="preserve">З2</t>
  </si>
  <si>
    <t xml:space="preserve">Розвідка загроз</t>
  </si>
  <si>
    <t xml:space="preserve">Невідомо (схема Sandworm 2024)</t>
  </si>
  <si>
    <t xml:space="preserve">Нові заплановані завдання або служби, що з’явилися на сервері керування насосами й робочих місцях диспетчерів</t>
  </si>
  <si>
    <t xml:space="preserve">Технологічний сегмент: сервер керування й чотири робочі місця диспетчерів</t>
  </si>
  <si>
    <t xml:space="preserve">Поточний перелік завдань і служб на самих машинах — разова перевірка стану, бо журналів немає</t>
  </si>
  <si>
    <t xml:space="preserve">Перевірити можна лише те, що є на машинах зараз: «нічого не знайдено» означає «зараз немає», а не «не було». Телеметрію оцінено за описом; що саме видно, з’ясуємо на занятті 4.</t>
  </si>
  <si>
    <t xml:space="preserve">ні</t>
  </si>
  <si>
    <t xml:space="preserve">Ваші гіпотези: по три від кожного, разом 6</t>
  </si>
  <si>
    <t xml:space="preserve">Перевірка вимог (рахується сама)</t>
  </si>
  <si>
    <t xml:space="preserve">Гіпотез (потрібно 6)</t>
  </si>
  <si>
    <t xml:space="preserve">Авторів, у яких не по три гіпотези (має бути 0)</t>
  </si>
  <si>
    <t xml:space="preserve">Різних джерел на пару (щонайменше 3)</t>
  </si>
  <si>
    <t xml:space="preserve">Про канал «Борея» (щонайменше 1)</t>
  </si>
  <si>
    <t xml:space="preserve">Без місця чи свідчень (має бути 0)</t>
  </si>
  <si>
    <t xml:space="preserve">Без усіх чотирьох балів (має бути 0)</t>
  </si>
  <si>
    <t xml:space="preserve">Найвища без обґрунтування (має бути 0)</t>
  </si>
  <si>
    <t xml:space="preserve">Банк — АТ «Банк Ясногір’я»</t>
  </si>
  <si>
    <t xml:space="preserve">Регіональний комерційний банк</t>
  </si>
  <si>
    <t xml:space="preserve">Вербівський, Кудик</t>
  </si>
  <si>
    <t xml:space="preserve">Близько 2000 працівників; головний офіс і 40 відділень</t>
  </si>
  <si>
    <t xml:space="preserve">Обидва наслідки критичні: і викрадення даних чи коштів, і зупинка обслуговування</t>
  </si>
  <si>
    <t xml:space="preserve">Сегменти: відділення, офіс, зона зовнішніх сервісів і контур оброблення платежів, відокремлений насправді. До контуру платежів — лише через проміжний сервер</t>
  </si>
  <si>
    <t xml:space="preserve">Близько 1800 комп’ютерів з Windows; власний центр обробки даних</t>
  </si>
  <si>
    <t xml:space="preserve">Розширений захист із записом процесів на всіх машинах</t>
  </si>
  <si>
    <t xml:space="preserve">Службові iOS і Android під системою керування; оновлення примусові</t>
  </si>
  <si>
    <t xml:space="preserve">Ізольований сегмент без виходу в інтернет</t>
  </si>
  <si>
    <t xml:space="preserve">Сайт, інтернет-банкінг, мобільний застосунок. Захист від перевантаження — у провайдера</t>
  </si>
  <si>
    <t xml:space="preserve">Шлюз віддаленого доступу з двофакторною автентифікацією</t>
  </si>
  <si>
    <t xml:space="preserve">Усе — захист кінцевих точок, контролери домену, проксі, брандмауери, шлюз — збирається централізовано й зберігається рік. Цілодобовий центр моніторингу</t>
  </si>
  <si>
    <t xml:space="preserve">Окремі облікові записи для адміністрування; доступ до серверів — лише через проміжний сервер</t>
  </si>
  <si>
    <t xml:space="preserve">Окремий захищений контур, копії не можна змінити чи видалити до кінця строку зберігання</t>
  </si>
  <si>
    <t xml:space="preserve">Розробка мобільного застосунку; розробники «Борея» мають доступ до репозиторію й тестових середовищ через проміжний сервер</t>
  </si>
  <si>
    <t xml:space="preserve">Mandiant: викрадені облікові дані до хмарних сховищ клієнтів Snowflake, 2024</t>
  </si>
  <si>
    <t xml:space="preserve">https://cloud.google.com/blog/topics/threat-intelligence/unc5537-snowflake-data-theft-extortion</t>
  </si>
  <si>
    <t xml:space="preserve">Підрядник-розробник як вхід до сховищ клієнтів (твердження зловмисника, підрядник заперечує)</t>
  </si>
  <si>
    <t xml:space="preserve">https://www.scworld.com/brief/ticketmaster-breach-detailed-by-shinyhunters-hacker</t>
  </si>
  <si>
    <t xml:space="preserve">Microsoft: дистанційні ІТ-працівники під чужою особою (Jasper Sleet), 2025</t>
  </si>
  <si>
    <t xml:space="preserve">https://www.microsoft.com/en-us/security/blog/2025/06/30/jasper-sleet-north-korean-remote-it-workers-evolving-tactics-to-infiltrate-organizations/</t>
  </si>
  <si>
    <t xml:space="preserve">Кошти, дані та обслуговування клієнтів</t>
  </si>
  <si>
    <t xml:space="preserve">Зупинка транзакцій, зупинка обробки даних клієнтів та роботи відділень</t>
  </si>
  <si>
    <t xml:space="preserve">UAC-0145</t>
  </si>
  <si>
    <t xml:space="preserve">За допомогою фішингу на робітників </t>
  </si>
  <si>
    <t xml:space="preserve">https://cert.gov.ua/article/6318863</t>
  </si>
  <si>
    <t xml:space="preserve">Компрометація репозиторію або тестового середовища за допомогою фішингу(витік коду, крадіжка паролів стилерами )</t>
  </si>
  <si>
    <t xml:space="preserve">Повне клонування репозиторію мобільного застосунку обліковим записом розробника «Борея», чия задача стосується одного модуля</t>
  </si>
  <si>
    <t xml:space="preserve">Репозиторій мобільного застосунку (доступ через проміжний сервер)</t>
  </si>
  <si>
    <t xml:space="preserve">Аудит репозиторію: операції клонування, обсяг, обліковий запис</t>
  </si>
  <si>
    <t xml:space="preserve">Вихідний код — критичний актив. За описом журнали збираються централізовано й зберігаються рік — тому 3; на занятті 4 перевіримо, чи є серед них аудит репозиторію.</t>
  </si>
  <si>
    <t xml:space="preserve">Ретроспектива інцидентів</t>
  </si>
  <si>
    <t xml:space="preserve">Входи під обліковими записами підрядників «Борея», які вже не працюють на проєкті</t>
  </si>
  <si>
    <t xml:space="preserve">Проміжний сервер і тестові середовища</t>
  </si>
  <si>
    <t xml:space="preserve">Журнали проміжного сервера й шлюзу, звірені зі списком чинних підрядників від «Борея»</t>
  </si>
  <si>
    <t xml:space="preserve">Даних за описом досить, але потрібен список від постачальника — це і є вартість перевірки.</t>
  </si>
  <si>
    <t xml:space="preserve">Лікарня — КНП «Ясногірська обласна лікарня»</t>
  </si>
  <si>
    <t xml:space="preserve">Обласний багатопрофільний заклад охорони здоров’я</t>
  </si>
  <si>
    <t xml:space="preserve">Близько 1500 працівників, п’ять корпусів</t>
  </si>
  <si>
    <t xml:space="preserve">Безперервність надання допомоги: зупинка на добу створює пряму загрозу життю. Далі — персональні дані пацієнтів і довірений канал до інших установ</t>
  </si>
  <si>
    <t xml:space="preserve">Офісна частина й сегмент медичного обладнання. Гостьова Wi-Fi-мережа виходить в інтернет через той самий проксі, що й офісна</t>
  </si>
  <si>
    <t xml:space="preserve">Близько 600 комп’ютерів з Windows; чотири сервери медичної інформаційної системи (МІС); контролер домену; власний поштовий сервер</t>
  </si>
  <si>
    <t xml:space="preserve">Антивірус із центральною консоллю: показує спрацювання, але не те, що відбувалося на комп’ютері</t>
  </si>
  <si>
    <t xml:space="preserve">Службові Android під керуванням — лише в керівництва й чергових лікарів. Більшість — особисті телефони через гостьову мережу</t>
  </si>
  <si>
    <t xml:space="preserve">Аналогова система з відеореєстратором без виходу в інтернет</t>
  </si>
  <si>
    <t xml:space="preserve">Власний сайт на поширеній системі керування вмістом, у власній серверній; оновлюється рідко</t>
  </si>
  <si>
    <t xml:space="preserve">Шлюз віддаленого доступу для ІТ-відділу й підрядника МІС («Борей Системс»)</t>
  </si>
  <si>
    <t xml:space="preserve">Консоль антивірусу — 90 днів. Входи на контролері домену, шлюз віддаленого доступу й журнал доставлення пошти — 30 днів. Проксі — 14 днів. Системні журнали серверів — лише локально, близько двох тижнів</t>
  </si>
  <si>
    <t xml:space="preserve">ІТ-відділ із п’яти осіб; окремих облікових записів для адміністрування немає</t>
  </si>
  <si>
    <t xml:space="preserve">Мережеве сховище в тій самій серверній і в тій самій мережі, що й сервери</t>
  </si>
  <si>
    <t xml:space="preserve">Розробка й оновлення МІС; входить через шлюз віддаленого доступу й постачає підписані оновлення МІС</t>
  </si>
  <si>
    <t xml:space="preserve">UAC-0099 і плагін Notepad++, 2026 (переказ звіту CERT-UA)</t>
  </si>
  <si>
    <t xml:space="preserve">https://www.bleepingcomputer.com/news/security/hackers-abuse-notepad-plus-plus-plugins-to-stealthily-install-malware/</t>
  </si>
  <si>
    <t xml:space="preserve">Дані пацієнтів, робота МІС, довіра інших установ</t>
  </si>
  <si>
    <t xml:space="preserve">Опис лікарні</t>
  </si>
  <si>
    <t xml:space="preserve">Затримки допомоги, загроза життю пацієнтів</t>
  </si>
  <si>
    <t xml:space="preserve">UAC-0247</t>
  </si>
  <si>
    <t xml:space="preserve">CERT-UA</t>
  </si>
  <si>
    <t xml:space="preserve">Фішинг під виглядом гуманітарної допомоги</t>
  </si>
  <si>
    <t xml:space="preserve">Картка полювання (дз1)</t>
  </si>
  <si>
    <t xml:space="preserve">Проникнення через зламаний доступ підрядника або заражене оновлення МІС</t>
  </si>
  <si>
    <t xml:space="preserve">Опис доступу Борея, оцінка ризику</t>
  </si>
  <si>
    <t xml:space="preserve">Прогалини покриття</t>
  </si>
  <si>
    <t xml:space="preserve">Вхід через шлюз віддаленого доступу під обліковим записом підрядника МІС уночі або з адреси, з якої підрядник раніше не заходив</t>
  </si>
  <si>
    <t xml:space="preserve">Шлюз віддаленого доступу</t>
  </si>
  <si>
    <t xml:space="preserve">Журнал шлюзу (30 днів): обліковий запис, час, адреса джерела</t>
  </si>
  <si>
    <t xml:space="preserve">Правила на такий вхід немає — тому джерело «прогалини покриття». Телеметрію оцінено за описом: журнал шлюзу є (30 днів). Що саме в ньому записується, перевіримо на занятті 4.</t>
  </si>
  <si>
    <t xml:space="preserve">UAC-0099 або «невідомо»</t>
  </si>
  <si>
    <t xml:space="preserve">Після відкриття вкладення з листа робоча станція звертається до файлообмінника через скорочувач посилань</t>
  </si>
  <si>
    <t xml:space="preserve">Офісні робочі станції</t>
  </si>
  <si>
    <t xml:space="preserve">Журнал доставлення пошти (30 днів) і проксі (14 днів): переходи на скорочувачі й файлообмінники одразу після листа</t>
  </si>
  <si>
    <t xml:space="preserve">За описом антивірус процесів не показує, тому шукаємо через пошту й проксі; глибина обмежена 14 днями проксі. На занятті 4 перевіримо, чи цього досить.</t>
  </si>
  <si>
    <t xml:space="preserve">Агрокомпанія — ТОВ «Ясногір’я Агро»</t>
  </si>
  <si>
    <t xml:space="preserve">Агропромислова компанія: зберігання й торгівля зерном, тваринництво</t>
  </si>
  <si>
    <t xml:space="preserve">Близько 900 працівників. Центральний офіс, елеваторний комплекс і тваринницька ферма. Власна ферма віртуалізації</t>
  </si>
  <si>
    <t xml:space="preserve">Облік зерна й розрахунки в основному бізнес-застосунку; безперервна робота елеватора в сезон збору врожаю</t>
  </si>
  <si>
    <t xml:space="preserve">Чотири зони з журналюванням перетинань меж. Демілітаризована: сайт, поштовий шлюз, шлюз віддаленого доступу. Корпоративна: контролер домену, файловий сервер, бізнес-застосунок, робочі станції, засіб централізованого керування. Виділений контур: технологічний сегмент елеватора й резервне копіювання</t>
  </si>
  <si>
    <t xml:space="preserve">Близько 400 комп’ютерів з Windows; сервери у власній фермі віртуалізації</t>
  </si>
  <si>
    <t xml:space="preserve">Розширений захист із записом процесів — близько 60% станцій: увесь офіс і бухгалтерія. У підрозділах — звичайний антивірус</t>
  </si>
  <si>
    <t xml:space="preserve">Керівництво — службові айфони без системи керування. У підрозділах — особисті телефони</t>
  </si>
  <si>
    <t xml:space="preserve">Близько 150 IP-камер Dahua на елеваторі й фермі; частина з відкритим портом керування для охоронної фірми в обхід центрального периметра</t>
  </si>
  <si>
    <t xml:space="preserve">Власний сайт у демілітаризованій зоні. Бухгалтерія працює з клієнт-банком</t>
  </si>
  <si>
    <t xml:space="preserve">Шлюз віддаленого доступу для офісних працівників</t>
  </si>
  <si>
    <t xml:space="preserve">Централізований сервер збирання: машини з розширеним захистом і контролер домену — 90 днів; межі зон, периметр, проксі й служба імен — 30 днів. У підрозділах — лише власні брандмауери, 14 днів</t>
  </si>
  <si>
    <t xml:space="preserve">ІТ-відділ із шести осіб в офісі; програми розгортаються засобом централізованого керування. У підрозділах ІТ-фахівців немає</t>
  </si>
  <si>
    <t xml:space="preserve">У виділеному контурі, окремо від корпоративної мережі</t>
  </si>
  <si>
    <t xml:space="preserve">Супровід хмарного сховища аналітики й модуля обліку зерна; облікові записи інженерів «Борея» у сховищі; оновлення модуля через засіб централізованого керування</t>
  </si>
  <si>
    <t xml:space="preserve">Гроші й розрахунки: бухгалтерія з клієнт-банком і бізнес-застосунок обліку зерна. Дані про запаси й ціни в хмарному сховищі аналітики. Елеватор — частина зернового експорту, тобто економічна ціль для рф.</t>
  </si>
  <si>
    <t xml:space="preserve">У сезон збору врожаю елеватор не приймає й не відвантажує зерно: черги машин, ризик псування зерна, зрив експортних контрактів. Без бізнес-застосунку немає обліку зерна й розрахунків. Поза сезоном — переважно фінансові втрати.</t>
  </si>
  <si>
    <t xml:space="preserve">Sandworm (APT44, ГРУ рф): вайпери проти зернових компаній України в червні й вересні 2025. UAC-0099: фішинг, зокрема на бухгалтерії; здобутий доступ передає Sandworm. UAC-0006: фінансово мотивовані, крадуть кошти через клієнт-банк бухгалтерів. Крадії даних із хмарних сховищ (UNC5537, Snowflake 2024).</t>
  </si>
  <si>
    <t xml:space="preserve">ESET APT Activity Report Q2–Q3 2025: https://www.welivesecurity.com/en/eset-research/eset-apt-activity-report-q2-2025-q3-2025/ ; звіти CERT-UA про UAC-0006: https://cert.gov.ua/</t>
  </si>
  <si>
    <t xml:space="preserve">Фішинговий лист. UAC-0099: посилання через скорочувач на архів із VBS-сценарієм і Notepad++ зі шкідливим плагіном. UAC-0006: архіви й документи з макросами для бухгалтерів. Також паролі, вкрадені стілерами, там, де немає двофакторної автентифікації (Snowflake), і відкриті з інтернету камери Dahua.</t>
  </si>
  <si>
    <t xml:space="preserve">UAC-0099 і плагін Notepad++, 2026: https://www.bleepingcomputer.com/news/security/hackers-abuse-notepad-plus-plus-plugins-to-stealthily-install-malware/</t>
  </si>
  <si>
    <t xml:space="preserve">Облікові записи інженерів «Борея» у хмарному сховищі: вкрадений пароль дає змогу вивантажити аналітику (схема Snowflake). Оновлення модуля обліку зерна йде через засіб централізованого керування: якщо «Борей» зламають або підмінять пакет, шкідливе ПЗ одразу потрапить на всі керовані станції.</t>
  </si>
  <si>
    <t xml:space="preserve">Опис каналу «Борея» (додаток Б); Mandiant про Snowflake: https://cloud.google.com/blog/topics/threat-intelligence/unc5537-snowflake-data-theft-extortion</t>
  </si>
  <si>
    <t xml:space="preserve">Легітимний текстовий редактор запускається з каталогу завантажень і підвантажує бібліотеку з каталогу плагінів</t>
  </si>
  <si>
    <t xml:space="preserve">Робочі станції бухгалтерії</t>
  </si>
  <si>
    <t xml:space="preserve">Журнали створення процесів (90 днів): шлях до виконуваного файла поза каталогами програм</t>
  </si>
  <si>
    <t xml:space="preserve">Свіжий український звіт про бухгалтерії; за описом бухгалтерія під розширеним захистом. 40% станцій у підрозділах не покрито — це межа твердження. Що саме записує захист, перевіримо на занятті 4.</t>
  </si>
  <si>
    <t xml:space="preserve">Невідомо (схема Snowflake 2024)</t>
  </si>
  <si>
    <t xml:space="preserve">Вхід під обліковим записом інженера «Борея» до хмарного сховища з мережі, з якої «Борей» раніше не заходив, і масові вибірки таблиць</t>
  </si>
  <si>
    <t xml:space="preserve">Хмарне сховище аналітики</t>
  </si>
  <si>
    <t xml:space="preserve">Журнал входів і запитів сховища — чи має його агрокомпанія і скільки зберігає? В описі цього немає: запишіть як припущення</t>
  </si>
  <si>
    <t xml:space="preserve">Вплив високий (розрахунки й ціни). Про журнал сховища в описі нічого немає — тому 1 як припущення; з’ясуємо на занятті 4.</t>
  </si>
  <si>
    <t xml:space="preserve">Прізвище 1</t>
  </si>
  <si>
    <t xml:space="preserve">Sandworm (APT44); початковий доступ — UAC-0099</t>
  </si>
  <si>
    <t xml:space="preserve">Новий або змінений об’єкт групової політики, що запускає виконуваний файл чи сценарій на всіх машинах домену (типовий спосіб, яким Sandworm розгортає вайпери)</t>
  </si>
  <si>
    <t xml:space="preserve">Контролер домену (групові політики й SYSVOL) і робочі станції офісу під розширеним захистом</t>
  </si>
  <si>
    <t xml:space="preserve">Журнал безпеки контролера домену (90 днів): зміни об’єктів групових політик (подія 5136) — хто й коли, звірити з ІТ-відділом; нові ScheduledTasks.xml або сценарії в SYSVOL. На станціях із записом процесів — той самий невідомий файл запускається на багатьох машинах за кілька хвилин</t>
  </si>
  <si>
    <t xml:space="preserve">Що за 90 днів групові політики поза ІТ-відділом не змінювали — лише якщо аудит змін каталогу ввімкнено; запусків на 40% станцій підрозділів не бачимо.</t>
  </si>
  <si>
    <t xml:space="preserve">Перша, бо поєднує найвищий вплив (вайпер через групові політики зупиняє облік зерна й елеватор у сезон) і найсвіжіший звіт саме про галузь клієнта — ESET 2025 про вайпери Sandworm проти зернових компаній України, — а журнали контролера домену за описом зберігаються 90 днів.</t>
  </si>
  <si>
    <t xml:space="preserve">UAC-0006 або «невідомо» (фінансово мотивовані)</t>
  </si>
  <si>
    <t xml:space="preserve">Після відкриття вкладення з листа (архів або документ Access із макросом → PowerShell) на комп’ютері бухгалтера з’являється програма віддаленого доступу RMS чи подібна, яку ІТ-відділ не розгортав</t>
  </si>
  <si>
    <t xml:space="preserve">Робочі станції бухгалтерії, з яких працюють із клієнт-банком</t>
  </si>
  <si>
    <t xml:space="preserve">Журнали створення процесів (90 днів): msaccess.exe або архіватор → powershell.exe → завантажений exe; запуск rutserv.exe / rfusclient.exe (RMS) чи іншої програми віддаленого доступу не через засіб централізованого керування. Проксі (30 днів): з’єднання з серверами цих програм</t>
  </si>
  <si>
    <t xml:space="preserve">Що за 90 днів на станціях бухгалтерії не запускали сторонніх програм віддаленого доступу; про давніший період сказати нічого не можемо.</t>
  </si>
  <si>
    <t xml:space="preserve">Невідомо (вразливості камер Dahua відомі й масово використовуються)</t>
  </si>
  <si>
    <t xml:space="preserve">Вхід на порт керування IP-камери з адреси, що не належить охоронній фірмі, після чого камера сама відкриває з’єднання до робочих станцій чи серверів (сканування портів, SMB, RDP)</t>
  </si>
  <si>
    <t xml:space="preserve">IP-камери Dahua на елеваторі й фермі з відкритим портом керування; власні брандмауери підрозділів</t>
  </si>
  <si>
    <t xml:space="preserve">Журнали брандмауерів елеватора й ферми (14 днів): вхідні з’єднання на порт керування камер з невідомих адрес; з’єднання від адрес камер до внутрішніх хостів. Центральний сервер збирання цих камер не бачить — вони в обхід периметра</t>
  </si>
  <si>
    <t xml:space="preserve">Лише що за останні 14 днів такого не було — і то якщо брандмауери записують дозволені з’єднання, а не тільки заблоковані.</t>
  </si>
  <si>
    <t xml:space="preserve">Прізвище 2</t>
  </si>
  <si>
    <t xml:space="preserve">Невідомо (зламаний «Борей» або будь-хто з доступом до засобу централізованого керування)</t>
  </si>
  <si>
    <t xml:space="preserve">Засіб централізованого керування розгортає «оновлення модуля обліку зерна», якого немає в погодженому з «Бореєм» переліку, або пакет без підпису «Борея»; після встановлення модуль запускає cmd/PowerShell чи з’єднується з незнайомими зовнішніми адресами</t>
  </si>
  <si>
    <t xml:space="preserve">Сервер засобу централізованого керування; станції з модулем обліку зерна (офіс і бухгалтерія)</t>
  </si>
  <si>
    <t xml:space="preserve">Історія розгортань засобу керування (хто створив пакет, коли, на які машини) — чи збирається вона централізовано, в описі немає: припущення. На станціях під розширеним захистом (90 днів): агент керування → новий файл модуля → дочірні cmd/powershell. Проксі (30 днів): нові адреси, до яких звертається модуль</t>
  </si>
  <si>
    <t xml:space="preserve">Що за 90 днів непогоджених розгортань модуля не було — якщо історія засобу керування зберігається стільки; станцій підрозділів не бачимо.</t>
  </si>
  <si>
    <t xml:space="preserve">Невідомо (схема UNC5537 / Snowflake 2024)</t>
  </si>
  <si>
    <t xml:space="preserve">Під обліковим записом інженера «Борея» у хмарному сховищі створюється новий користувач або ключ доступу, або дані вивантажуються в зовнішнє сховище (експорт таблиць замість звичних аналітичних запитів)</t>
  </si>
  <si>
    <t xml:space="preserve">Журнал адміністративних дій і запитів сховища: створення користувачів і ключів, команди експорту, обсяг вивантажених даних. Чи веде його агрокомпанія й скільки зберігає — в описі немає, тому припущення й телеметрія 1</t>
  </si>
  <si>
    <t xml:space="preserve">Нічого — доки не з’ясуємо, чи є журнал сховища і хто має до нього доступ: агрокомпанія чи лише «Борей».</t>
  </si>
  <si>
    <t xml:space="preserve">Аномалії базового стану</t>
  </si>
  <si>
    <t xml:space="preserve">Невідомо (так готуються і вайпер-оператори, і вимагачі: спершу знищують резервні копії)</t>
  </si>
  <si>
    <t xml:space="preserve">Хост корпоративної зони, який раніше не ходив у виділений контур, підключається до сервера резервного копіювання або технологічного сегмента елеватора (RDP, SMB, SSH, веб-консоль керування)</t>
  </si>
  <si>
    <t xml:space="preserve">Межа між корпоративною зоною й виділеним контуром: сервер резервного копіювання, технологічний сегмент елеватора</t>
  </si>
  <si>
    <t xml:space="preserve">Журнал перетинань меж зон на центральному сервері (30 днів): адреси джерела й призначення, порт, час; порівняти з базовим переліком «хто зазвичай ходить у контур» (сервер резервного копіювання, адміністратори)</t>
  </si>
  <si>
    <t xml:space="preserve">Що за 30 днів ніхто зайвий у виділений контур не заходив — за умови, що журнал меж фіксує дозволені з’єднання.</t>
  </si>
  <si>
    <t xml:space="preserve">Рецензії ДЗ-2: одна гіпотеза відповідника, два пункти, 15 хвилин</t>
  </si>
  <si>
    <t xml:space="preserve">Рядок 4 — зразок формату; ваші — з рядка 5.</t>
  </si>
  <si>
    <t xml:space="preserve">Рецензент</t>
  </si>
  <si>
    <t xml:space="preserve">Моя вкладка</t>
  </si>
  <si>
    <t xml:space="preserve">Чию роботу рецензую (вкладка, автор)</t>
  </si>
  <si>
    <t xml:space="preserve">№ гіпотези</t>
  </si>
  <si>
    <t xml:space="preserve">Найслабше місце обґрунтування</t>
  </si>
  <si>
    <t xml:space="preserve">Питання, на яке гіпотеза не відповідає</t>
  </si>
  <si>
    <t xml:space="preserve">Зразок: Іваненко</t>
  </si>
  <si>
    <t xml:space="preserve">Водоканал</t>
  </si>
  <si>
    <t xml:space="preserve">Лікарня, Петренко</t>
  </si>
  <si>
    <t xml:space="preserve">Місце «вся мережа»: не сказано, на яких хостах є журнали, тож незрозуміло, що означатиме «нічого не знайдено».</t>
  </si>
  <si>
    <t xml:space="preserve">Чим законний вхід підрядника МІС відрізнятиметься в записах шлюзу від описаної поведінки?</t>
  </si>
  <si>
    <t xml:space="preserve">Джерела</t>
  </si>
  <si>
    <t xml:space="preserve">Так/ні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</si>
</sst>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7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1F4FBF"/>
      <name val="Arial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10"/>
      <color rgb="FF4A4A6A"/>
      <name val="Arial"/>
      <family val="0"/>
      <charset val="1"/>
    </font>
    <font>
      <b val="true"/>
      <i val="true"/>
      <sz val="10"/>
      <color rgb="FF4A4A6A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u val="single"/>
      <sz val="10"/>
      <color rgb="FF0000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F3349"/>
        <bgColor rgb="FF333300"/>
      </patternFill>
    </fill>
    <fill>
      <patternFill patternType="solid">
        <fgColor rgb="FFFFF7CC"/>
        <bgColor rgb="FFEEEEF4"/>
      </patternFill>
    </fill>
    <fill>
      <patternFill patternType="solid">
        <fgColor rgb="FFE4E4EE"/>
        <bgColor rgb="FFE6E0F5"/>
      </patternFill>
    </fill>
    <fill>
      <patternFill patternType="solid">
        <fgColor rgb="FFE6E0F5"/>
        <bgColor rgb="FFE4E4EE"/>
      </patternFill>
    </fill>
    <fill>
      <patternFill patternType="solid">
        <fgColor rgb="FFEEEEF4"/>
        <bgColor rgb="FFE4E4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B8C8"/>
      </left>
      <right style="thin">
        <color rgb="FFB8B8C8"/>
      </right>
      <top style="thin">
        <color rgb="FFB8B8C8"/>
      </top>
      <bottom style="thin">
        <color rgb="FFB8B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4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6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B8C8"/>
      <rgbColor rgb="FF808080"/>
      <rgbColor rgb="FF9999FF"/>
      <rgbColor rgb="FF993366"/>
      <rgbColor rgb="FFFFF7CC"/>
      <rgbColor rgb="FFEEEEF4"/>
      <rgbColor rgb="FF660066"/>
      <rgbColor rgb="FFFF8080"/>
      <rgbColor rgb="FF1F4FBF"/>
      <rgbColor rgb="FFE6E0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4EE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4A4A6A"/>
      <rgbColor rgb="FF2F334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plunk.com/en_us/blog/security/peak-threat-hunting-framework.html" TargetMode="External"/><Relationship Id="rId2" Type="http://schemas.openxmlformats.org/officeDocument/2006/relationships/hyperlink" Target="https://github.com/THORCollective/HEARTH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ert.gov.ua/" TargetMode="External"/><Relationship Id="rId2" Type="http://schemas.openxmlformats.org/officeDocument/2006/relationships/hyperlink" Target="https://www.bleepingcomputer.com/news/security/russian-sandworm-hackers-targeted-20-critical-orgs-in-ukraine/" TargetMode="External"/><Relationship Id="rId3" Type="http://schemas.openxmlformats.org/officeDocument/2006/relationships/hyperlink" Target="https://industrialcyber.co/critical-infrastructure/ukrainian-cert-details-malicious-plan-by-sandworm-group-to-disrupt-critical-infrastructure-facilities/" TargetMode="External"/><Relationship Id="rId4" Type="http://schemas.openxmlformats.org/officeDocument/2006/relationships/hyperlink" Target="https://www.tdworld.com/smart-utility/grid-security/news/55403973/cyberattack-on-german-public-utility-highlights-broader-resiliency-landscape-of-regional-power-infrastructure" TargetMode="External"/><Relationship Id="rId5" Type="http://schemas.openxmlformats.org/officeDocument/2006/relationships/hyperlink" Target="https://www.bleepingcomputer.com/news/security/russian-sandworm-hackers-targeted-20-critical-orgs-in-ukraine/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cert.gov.ua/" TargetMode="External"/><Relationship Id="rId2" Type="http://schemas.openxmlformats.org/officeDocument/2006/relationships/hyperlink" Target="https://cloud.google.com/blog/topics/threat-intelligence/unc5537-snowflake-data-theft-extortion" TargetMode="External"/><Relationship Id="rId3" Type="http://schemas.openxmlformats.org/officeDocument/2006/relationships/hyperlink" Target="https://www.scworld.com/brief/ticketmaster-breach-detailed-by-shinyhunters-hacker" TargetMode="External"/><Relationship Id="rId4" Type="http://schemas.openxmlformats.org/officeDocument/2006/relationships/hyperlink" Target="https://www.microsoft.com/en-us/security/blog/2025/06/30/jasper-sleet-north-korean-remote-it-workers-evolving-tactics-to-infiltrate-organizations/" TargetMode="External"/><Relationship Id="rId5" Type="http://schemas.openxmlformats.org/officeDocument/2006/relationships/hyperlink" Target="https://cert.gov.ua/article/6318863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cert.gov.ua/" TargetMode="External"/><Relationship Id="rId2" Type="http://schemas.openxmlformats.org/officeDocument/2006/relationships/hyperlink" Target="https://www.bleepingcomputer.com/news/security/hackers-abuse-notepad-plus-plus-plugins-to-stealthily-install-malware/" TargetMode="External"/><Relationship Id="rId3" Type="http://schemas.openxmlformats.org/officeDocument/2006/relationships/hyperlink" Target="https://industrialcyber.co/critical-infrastructure/ukrainian-cert-details-malicious-plan-by-sandworm-group-to-disrupt-critical-infrastructure-facilities/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cert.gov.ua/" TargetMode="External"/><Relationship Id="rId2" Type="http://schemas.openxmlformats.org/officeDocument/2006/relationships/hyperlink" Target="https://www.bleepingcomputer.com/news/security/hackers-abuse-notepad-plus-plus-plugins-to-stealthily-install-malware/" TargetMode="External"/><Relationship Id="rId3" Type="http://schemas.openxmlformats.org/officeDocument/2006/relationships/hyperlink" Target="https://cloud.google.com/blog/topics/threat-intelligence/unc5537-snowflake-data-theft-extorti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36"/>
    <col collapsed="false" customWidth="true" hidden="false" outlineLevel="0" max="26" min="5" style="0" width="8.71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4" customFormat="false" ht="39.75" hidden="false" customHeight="true" outlineLevel="0" collapsed="false">
      <c r="A4" s="3" t="s">
        <v>2</v>
      </c>
      <c r="B4" s="4" t="s">
        <v>3</v>
      </c>
      <c r="C4" s="4"/>
      <c r="D4" s="4"/>
    </row>
    <row r="5" customFormat="false" ht="39.75" hidden="false" customHeight="true" outlineLevel="0" collapsed="false">
      <c r="A5" s="3" t="s">
        <v>4</v>
      </c>
      <c r="B5" s="4" t="s">
        <v>5</v>
      </c>
      <c r="C5" s="4"/>
      <c r="D5" s="4"/>
    </row>
    <row r="6" customFormat="false" ht="39.75" hidden="false" customHeight="true" outlineLevel="0" collapsed="false">
      <c r="A6" s="3" t="s">
        <v>6</v>
      </c>
      <c r="B6" s="4" t="s">
        <v>7</v>
      </c>
      <c r="C6" s="4"/>
      <c r="D6" s="4"/>
    </row>
    <row r="7" customFormat="false" ht="39.75" hidden="false" customHeight="true" outlineLevel="0" collapsed="false">
      <c r="A7" s="3" t="s">
        <v>8</v>
      </c>
      <c r="B7" s="4" t="s">
        <v>9</v>
      </c>
      <c r="C7" s="4"/>
      <c r="D7" s="4"/>
    </row>
    <row r="8" customFormat="false" ht="39.75" hidden="false" customHeight="true" outlineLevel="0" collapsed="false">
      <c r="A8" s="3" t="s">
        <v>10</v>
      </c>
      <c r="B8" s="4" t="s">
        <v>11</v>
      </c>
      <c r="C8" s="4"/>
      <c r="D8" s="4"/>
    </row>
    <row r="9" customFormat="false" ht="39.75" hidden="false" customHeight="true" outlineLevel="0" collapsed="false">
      <c r="A9" s="3" t="s">
        <v>12</v>
      </c>
      <c r="B9" s="4" t="s">
        <v>13</v>
      </c>
      <c r="C9" s="4"/>
      <c r="D9" s="4"/>
    </row>
    <row r="10" customFormat="false" ht="39.75" hidden="false" customHeight="true" outlineLevel="0" collapsed="false">
      <c r="A10" s="3" t="s">
        <v>14</v>
      </c>
      <c r="B10" s="4" t="s">
        <v>15</v>
      </c>
      <c r="C10" s="4"/>
      <c r="D10" s="4"/>
    </row>
    <row r="12" customFormat="false" ht="39.55" hidden="false" customHeight="false" outlineLevel="0" collapsed="false">
      <c r="A12" s="5" t="s">
        <v>16</v>
      </c>
    </row>
    <row r="13" customFormat="false" ht="15" hidden="false" customHeight="false" outlineLevel="0" collapsed="false">
      <c r="A13" s="6" t="s">
        <v>17</v>
      </c>
      <c r="B13" s="6" t="s">
        <v>18</v>
      </c>
      <c r="C13" s="6" t="s">
        <v>19</v>
      </c>
      <c r="D13" s="6" t="s">
        <v>20</v>
      </c>
    </row>
    <row r="14" customFormat="false" ht="15" hidden="false" customHeight="false" outlineLevel="0" collapsed="false">
      <c r="A14" s="7" t="s">
        <v>21</v>
      </c>
      <c r="B14" s="8" t="s">
        <v>22</v>
      </c>
      <c r="C14" s="8" t="s">
        <v>23</v>
      </c>
      <c r="D14" s="8" t="s">
        <v>24</v>
      </c>
    </row>
    <row r="15" customFormat="false" ht="15" hidden="false" customHeight="false" outlineLevel="0" collapsed="false">
      <c r="A15" s="7" t="s">
        <v>25</v>
      </c>
      <c r="B15" s="8" t="s">
        <v>26</v>
      </c>
      <c r="C15" s="8" t="s">
        <v>27</v>
      </c>
      <c r="D15" s="8" t="s">
        <v>28</v>
      </c>
    </row>
    <row r="16" customFormat="false" ht="15" hidden="false" customHeight="false" outlineLevel="0" collapsed="false">
      <c r="A16" s="7" t="s">
        <v>12</v>
      </c>
      <c r="B16" s="8" t="s">
        <v>29</v>
      </c>
      <c r="C16" s="8" t="s">
        <v>30</v>
      </c>
      <c r="D16" s="8" t="s">
        <v>31</v>
      </c>
    </row>
    <row r="17" customFormat="false" ht="15" hidden="false" customHeight="false" outlineLevel="0" collapsed="false">
      <c r="A17" s="7" t="s">
        <v>32</v>
      </c>
      <c r="B17" s="8" t="s">
        <v>33</v>
      </c>
      <c r="C17" s="8" t="s">
        <v>34</v>
      </c>
      <c r="D17" s="8" t="s">
        <v>35</v>
      </c>
    </row>
    <row r="18" customFormat="false" ht="15" hidden="false" customHeight="true" outlineLevel="0" collapsed="false">
      <c r="A18" s="2" t="s">
        <v>36</v>
      </c>
      <c r="B18" s="2"/>
      <c r="C18" s="2"/>
      <c r="D18" s="2"/>
    </row>
    <row r="20" customFormat="false" ht="15" hidden="false" customHeight="false" outlineLevel="0" collapsed="false">
      <c r="A20" s="5" t="s">
        <v>37</v>
      </c>
    </row>
    <row r="21" customFormat="false" ht="15" hidden="false" customHeight="true" outlineLevel="0" collapsed="false">
      <c r="A21" s="9" t="s">
        <v>38</v>
      </c>
      <c r="B21" s="9"/>
      <c r="C21" s="10" t="s">
        <v>39</v>
      </c>
      <c r="D21" s="10"/>
    </row>
    <row r="22" customFormat="false" ht="15" hidden="false" customHeight="true" outlineLevel="0" collapsed="false">
      <c r="A22" s="9" t="s">
        <v>40</v>
      </c>
      <c r="B22" s="9"/>
      <c r="C22" s="10" t="s">
        <v>41</v>
      </c>
      <c r="D22" s="10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2:D2"/>
    <mergeCell ref="B4:D4"/>
    <mergeCell ref="B5:D5"/>
    <mergeCell ref="B6:D6"/>
    <mergeCell ref="B7:D7"/>
    <mergeCell ref="B8:D8"/>
    <mergeCell ref="B9:D9"/>
    <mergeCell ref="B10:D10"/>
    <mergeCell ref="A18:D18"/>
    <mergeCell ref="A21:B21"/>
    <mergeCell ref="C21:D21"/>
    <mergeCell ref="A22:B22"/>
    <mergeCell ref="C22:D22"/>
  </mergeCells>
  <hyperlinks>
    <hyperlink ref="C21" r:id="rId1" display="https://www.splunk.com/en_us/blog/security/peak-threat-hunting-framework.html"/>
    <hyperlink ref="C22" r:id="rId2" display="https://github.com/THORCollective/HEARTH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9"/>
    <col collapsed="false" customWidth="true" hidden="false" outlineLevel="0" max="26" min="17" style="0" width="8.71"/>
  </cols>
  <sheetData>
    <row r="1" customFormat="false" ht="16.15" hidden="false" customHeight="false" outlineLevel="0" collapsed="false">
      <c r="A1" s="11" t="s">
        <v>42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" hidden="false" customHeight="false" outlineLevel="0" collapsed="false">
      <c r="A2" s="13" t="s">
        <v>43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15" hidden="false" customHeight="true" outlineLevel="0" collapsed="false">
      <c r="A3" s="14" t="s">
        <v>44</v>
      </c>
      <c r="B3" s="14"/>
      <c r="C3" s="15" t="s">
        <v>45</v>
      </c>
      <c r="D3" s="15"/>
      <c r="E3" s="15"/>
      <c r="F3" s="15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15" hidden="false" customHeight="false" outlineLevel="0" collapsed="false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" hidden="false" customHeight="false" outlineLevel="0" collapsed="false">
      <c r="A5" s="16" t="s">
        <v>46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30" hidden="false" customHeight="true" outlineLevel="0" collapsed="false">
      <c r="A6" s="12"/>
      <c r="B6" s="17" t="s">
        <v>47</v>
      </c>
      <c r="C6" s="17"/>
      <c r="D6" s="18" t="s">
        <v>48</v>
      </c>
      <c r="E6" s="18"/>
      <c r="F6" s="18"/>
      <c r="G6" s="18"/>
      <c r="H6" s="18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30" hidden="false" customHeight="true" outlineLevel="0" collapsed="false">
      <c r="A7" s="12"/>
      <c r="B7" s="17" t="s">
        <v>49</v>
      </c>
      <c r="C7" s="17"/>
      <c r="D7" s="18" t="s">
        <v>50</v>
      </c>
      <c r="E7" s="18"/>
      <c r="F7" s="18"/>
      <c r="G7" s="18"/>
      <c r="H7" s="18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43.5" hidden="false" customHeight="true" outlineLevel="0" collapsed="false">
      <c r="A8" s="12"/>
      <c r="B8" s="17" t="s">
        <v>51</v>
      </c>
      <c r="C8" s="17"/>
      <c r="D8" s="18" t="s">
        <v>52</v>
      </c>
      <c r="E8" s="18"/>
      <c r="F8" s="18"/>
      <c r="G8" s="18"/>
      <c r="H8" s="18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43.5" hidden="false" customHeight="true" outlineLevel="0" collapsed="false">
      <c r="A9" s="12"/>
      <c r="B9" s="17" t="s">
        <v>53</v>
      </c>
      <c r="C9" s="17"/>
      <c r="D9" s="18" t="s">
        <v>54</v>
      </c>
      <c r="E9" s="18"/>
      <c r="F9" s="18"/>
      <c r="G9" s="18"/>
      <c r="H9" s="18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30" hidden="false" customHeight="true" outlineLevel="0" collapsed="false">
      <c r="A10" s="12"/>
      <c r="B10" s="17" t="s">
        <v>55</v>
      </c>
      <c r="C10" s="17"/>
      <c r="D10" s="18" t="s">
        <v>56</v>
      </c>
      <c r="E10" s="18"/>
      <c r="F10" s="18"/>
      <c r="G10" s="18"/>
      <c r="H10" s="18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30" hidden="false" customHeight="true" outlineLevel="0" collapsed="false">
      <c r="A11" s="12"/>
      <c r="B11" s="17" t="s">
        <v>57</v>
      </c>
      <c r="C11" s="17"/>
      <c r="D11" s="18" t="s">
        <v>58</v>
      </c>
      <c r="E11" s="18"/>
      <c r="F11" s="18"/>
      <c r="G11" s="18"/>
      <c r="H11" s="18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30" hidden="false" customHeight="true" outlineLevel="0" collapsed="false">
      <c r="A12" s="12"/>
      <c r="B12" s="17" t="s">
        <v>59</v>
      </c>
      <c r="C12" s="17"/>
      <c r="D12" s="18" t="s">
        <v>60</v>
      </c>
      <c r="E12" s="18"/>
      <c r="F12" s="18"/>
      <c r="G12" s="18"/>
      <c r="H12" s="18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30" hidden="false" customHeight="true" outlineLevel="0" collapsed="false">
      <c r="A13" s="12"/>
      <c r="B13" s="17" t="s">
        <v>61</v>
      </c>
      <c r="C13" s="17"/>
      <c r="D13" s="18" t="s">
        <v>62</v>
      </c>
      <c r="E13" s="18"/>
      <c r="F13" s="18"/>
      <c r="G13" s="18"/>
      <c r="H13" s="18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43.5" hidden="false" customHeight="true" outlineLevel="0" collapsed="false">
      <c r="A14" s="12"/>
      <c r="B14" s="17" t="s">
        <v>63</v>
      </c>
      <c r="C14" s="17"/>
      <c r="D14" s="18" t="s">
        <v>64</v>
      </c>
      <c r="E14" s="18"/>
      <c r="F14" s="18"/>
      <c r="G14" s="18"/>
      <c r="H14" s="18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43.5" hidden="false" customHeight="true" outlineLevel="0" collapsed="false">
      <c r="A15" s="12"/>
      <c r="B15" s="17" t="s">
        <v>65</v>
      </c>
      <c r="C15" s="17"/>
      <c r="D15" s="18" t="s">
        <v>66</v>
      </c>
      <c r="E15" s="18"/>
      <c r="F15" s="18"/>
      <c r="G15" s="18"/>
      <c r="H15" s="18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43.5" hidden="false" customHeight="true" outlineLevel="0" collapsed="false">
      <c r="A16" s="12"/>
      <c r="B16" s="17" t="s">
        <v>67</v>
      </c>
      <c r="C16" s="17"/>
      <c r="D16" s="18" t="s">
        <v>68</v>
      </c>
      <c r="E16" s="18"/>
      <c r="F16" s="18"/>
      <c r="G16" s="18"/>
      <c r="H16" s="18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30" hidden="false" customHeight="true" outlineLevel="0" collapsed="false">
      <c r="A17" s="12"/>
      <c r="B17" s="17" t="s">
        <v>69</v>
      </c>
      <c r="C17" s="17"/>
      <c r="D17" s="18" t="s">
        <v>70</v>
      </c>
      <c r="E17" s="18"/>
      <c r="F17" s="18"/>
      <c r="G17" s="18"/>
      <c r="H17" s="18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43.5" hidden="false" customHeight="true" outlineLevel="0" collapsed="false">
      <c r="A18" s="12"/>
      <c r="B18" s="19" t="s">
        <v>71</v>
      </c>
      <c r="C18" s="19"/>
      <c r="D18" s="20" t="s">
        <v>72</v>
      </c>
      <c r="E18" s="20"/>
      <c r="F18" s="20"/>
      <c r="G18" s="20"/>
      <c r="H18" s="20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" hidden="false" customHeight="false" outlineLevel="0" collapsed="false">
      <c r="A20" s="16" t="s">
        <v>73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" hidden="false" customHeight="true" outlineLevel="0" collapsed="false">
      <c r="A21" s="12"/>
      <c r="B21" s="14" t="s">
        <v>74</v>
      </c>
      <c r="C21" s="14"/>
      <c r="D21" s="14"/>
      <c r="E21" s="14"/>
      <c r="F21" s="21" t="s">
        <v>75</v>
      </c>
      <c r="G21" s="21"/>
      <c r="H21" s="21"/>
      <c r="I21" s="21"/>
      <c r="J21" s="21"/>
      <c r="K21" s="21"/>
      <c r="L21" s="21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" hidden="false" customHeight="true" outlineLevel="0" collapsed="false">
      <c r="A22" s="12"/>
      <c r="B22" s="14" t="s">
        <v>76</v>
      </c>
      <c r="C22" s="14"/>
      <c r="D22" s="14"/>
      <c r="E22" s="14"/>
      <c r="F22" s="21" t="s">
        <v>77</v>
      </c>
      <c r="G22" s="21"/>
      <c r="H22" s="21"/>
      <c r="I22" s="21"/>
      <c r="J22" s="21"/>
      <c r="K22" s="21"/>
      <c r="L22" s="21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" hidden="false" customHeight="true" outlineLevel="0" collapsed="false">
      <c r="A23" s="12"/>
      <c r="B23" s="14" t="s">
        <v>78</v>
      </c>
      <c r="C23" s="14"/>
      <c r="D23" s="14"/>
      <c r="E23" s="14"/>
      <c r="F23" s="21" t="s">
        <v>79</v>
      </c>
      <c r="G23" s="21"/>
      <c r="H23" s="21"/>
      <c r="I23" s="21"/>
      <c r="J23" s="21"/>
      <c r="K23" s="21"/>
      <c r="L23" s="21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customFormat="false" ht="15" hidden="false" customHeight="true" outlineLevel="0" collapsed="false">
      <c r="A24" s="12"/>
      <c r="B24" s="14" t="s">
        <v>80</v>
      </c>
      <c r="C24" s="14"/>
      <c r="D24" s="14"/>
      <c r="E24" s="14"/>
      <c r="F24" s="21" t="s">
        <v>81</v>
      </c>
      <c r="G24" s="21"/>
      <c r="H24" s="21"/>
      <c r="I24" s="21"/>
      <c r="J24" s="21"/>
      <c r="K24" s="21"/>
      <c r="L24" s="21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customFormat="false" ht="15.75" hidden="false" customHeight="true" outlineLevel="0" collapsed="false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.75" hidden="false" customHeight="true" outlineLevel="0" collapsed="false">
      <c r="A26" s="16" t="s">
        <v>82</v>
      </c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" hidden="false" customHeight="true" outlineLevel="0" collapsed="false">
      <c r="A27" s="22" t="s">
        <v>83</v>
      </c>
      <c r="B27" s="22"/>
      <c r="C27" s="22"/>
      <c r="D27" s="22"/>
      <c r="E27" s="22" t="s">
        <v>84</v>
      </c>
      <c r="F27" s="22"/>
      <c r="G27" s="22"/>
      <c r="H27" s="22" t="s">
        <v>85</v>
      </c>
      <c r="I27" s="2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33.75" hidden="false" customHeight="true" outlineLevel="0" collapsed="false">
      <c r="A28" s="23" t="s">
        <v>86</v>
      </c>
      <c r="B28" s="23"/>
      <c r="C28" s="23"/>
      <c r="D28" s="23"/>
      <c r="E28" s="15" t="s">
        <v>87</v>
      </c>
      <c r="F28" s="15"/>
      <c r="G28" s="15"/>
      <c r="H28" s="15" t="s">
        <v>88</v>
      </c>
      <c r="I28" s="15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customFormat="false" ht="33.75" hidden="false" customHeight="true" outlineLevel="0" collapsed="false">
      <c r="A29" s="23" t="s">
        <v>89</v>
      </c>
      <c r="B29" s="23"/>
      <c r="C29" s="23"/>
      <c r="D29" s="23"/>
      <c r="E29" s="24" t="s">
        <v>90</v>
      </c>
      <c r="F29" s="24"/>
      <c r="G29" s="24"/>
      <c r="H29" s="15" t="s">
        <v>88</v>
      </c>
      <c r="I29" s="15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33.75" hidden="false" customHeight="true" outlineLevel="0" collapsed="false">
      <c r="A30" s="23" t="s">
        <v>91</v>
      </c>
      <c r="B30" s="23"/>
      <c r="C30" s="23"/>
      <c r="D30" s="23"/>
      <c r="E30" s="15" t="s">
        <v>92</v>
      </c>
      <c r="F30" s="15"/>
      <c r="G30" s="15"/>
      <c r="H30" s="25" t="s">
        <v>77</v>
      </c>
      <c r="I30" s="25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33.75" hidden="false" customHeight="true" outlineLevel="0" collapsed="false">
      <c r="A31" s="23" t="s">
        <v>93</v>
      </c>
      <c r="B31" s="23"/>
      <c r="C31" s="23"/>
      <c r="D31" s="23"/>
      <c r="E31" s="24" t="s">
        <v>94</v>
      </c>
      <c r="F31" s="24"/>
      <c r="G31" s="24"/>
      <c r="H31" s="15" t="s">
        <v>88</v>
      </c>
      <c r="I31" s="15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33.75" hidden="false" customHeight="true" outlineLevel="0" collapsed="false">
      <c r="A32" s="23" t="s">
        <v>95</v>
      </c>
      <c r="B32" s="23"/>
      <c r="C32" s="23"/>
      <c r="D32" s="23"/>
      <c r="E32" s="24" t="s">
        <v>96</v>
      </c>
      <c r="F32" s="24"/>
      <c r="G32" s="24"/>
      <c r="H32" s="15" t="s">
        <v>88</v>
      </c>
      <c r="I32" s="15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customFormat="false" ht="15.75" hidden="false" customHeight="true" outlineLevel="0" collapsed="false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customFormat="false" ht="15.75" hidden="false" customHeight="true" outlineLevel="0" collapsed="false">
      <c r="A34" s="16" t="s">
        <v>97</v>
      </c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42" hidden="false" customHeight="true" outlineLevel="0" collapsed="false">
      <c r="A35" s="26" t="s">
        <v>98</v>
      </c>
      <c r="B35" s="26" t="s">
        <v>99</v>
      </c>
      <c r="C35" s="26" t="s">
        <v>100</v>
      </c>
      <c r="D35" s="26" t="s">
        <v>101</v>
      </c>
      <c r="E35" s="26" t="s">
        <v>102</v>
      </c>
      <c r="F35" s="26" t="s">
        <v>103</v>
      </c>
      <c r="G35" s="26" t="s">
        <v>104</v>
      </c>
      <c r="H35" s="26" t="s">
        <v>105</v>
      </c>
      <c r="I35" s="26" t="s">
        <v>106</v>
      </c>
      <c r="J35" s="26" t="s">
        <v>25</v>
      </c>
      <c r="K35" s="26" t="s">
        <v>107</v>
      </c>
      <c r="L35" s="26" t="s">
        <v>108</v>
      </c>
      <c r="M35" s="26" t="s">
        <v>109</v>
      </c>
      <c r="N35" s="26" t="s">
        <v>110</v>
      </c>
      <c r="O35" s="26" t="s">
        <v>111</v>
      </c>
      <c r="P35" s="26" t="s">
        <v>112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73.5" hidden="false" customHeight="true" outlineLevel="0" collapsed="false">
      <c r="A36" s="27" t="s">
        <v>113</v>
      </c>
      <c r="B36" s="28" t="s">
        <v>114</v>
      </c>
      <c r="C36" s="28" t="s">
        <v>115</v>
      </c>
      <c r="D36" s="28" t="s">
        <v>116</v>
      </c>
      <c r="E36" s="28" t="s">
        <v>117</v>
      </c>
      <c r="F36" s="28" t="s">
        <v>118</v>
      </c>
      <c r="G36" s="28" t="s">
        <v>119</v>
      </c>
      <c r="H36" s="28"/>
      <c r="I36" s="27" t="n">
        <v>2</v>
      </c>
      <c r="J36" s="27" t="n">
        <v>3</v>
      </c>
      <c r="K36" s="27" t="n">
        <v>1</v>
      </c>
      <c r="L36" s="27" t="n">
        <v>2</v>
      </c>
      <c r="M36" s="29" t="n">
        <f aca="false">SUM(I36:L36)</f>
        <v>8</v>
      </c>
      <c r="N36" s="28"/>
      <c r="O36" s="28" t="s">
        <v>120</v>
      </c>
      <c r="P36" s="27" t="s">
        <v>121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73.5" hidden="false" customHeight="true" outlineLevel="0" collapsed="false">
      <c r="A37" s="27" t="s">
        <v>122</v>
      </c>
      <c r="B37" s="28" t="s">
        <v>114</v>
      </c>
      <c r="C37" s="28" t="s">
        <v>123</v>
      </c>
      <c r="D37" s="28" t="s">
        <v>124</v>
      </c>
      <c r="E37" s="28" t="s">
        <v>125</v>
      </c>
      <c r="F37" s="28" t="s">
        <v>126</v>
      </c>
      <c r="G37" s="28" t="s">
        <v>127</v>
      </c>
      <c r="H37" s="28"/>
      <c r="I37" s="27" t="n">
        <v>2</v>
      </c>
      <c r="J37" s="27" t="n">
        <v>3</v>
      </c>
      <c r="K37" s="27" t="n">
        <v>2</v>
      </c>
      <c r="L37" s="27" t="n">
        <v>2</v>
      </c>
      <c r="M37" s="29" t="n">
        <f aca="false">SUM(I37:L37)</f>
        <v>9</v>
      </c>
      <c r="N37" s="28"/>
      <c r="O37" s="28" t="s">
        <v>128</v>
      </c>
      <c r="P37" s="27" t="s">
        <v>129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5.75" hidden="false" customHeight="true" outlineLevel="0" collapsed="false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5.75" hidden="false" customHeight="true" outlineLevel="0" collapsed="false">
      <c r="A39" s="16" t="s">
        <v>130</v>
      </c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42" hidden="false" customHeight="true" outlineLevel="0" collapsed="false">
      <c r="A40" s="26" t="s">
        <v>98</v>
      </c>
      <c r="B40" s="26" t="s">
        <v>99</v>
      </c>
      <c r="C40" s="26" t="s">
        <v>100</v>
      </c>
      <c r="D40" s="26" t="s">
        <v>101</v>
      </c>
      <c r="E40" s="26" t="s">
        <v>102</v>
      </c>
      <c r="F40" s="26" t="s">
        <v>103</v>
      </c>
      <c r="G40" s="26" t="s">
        <v>104</v>
      </c>
      <c r="H40" s="26" t="s">
        <v>105</v>
      </c>
      <c r="I40" s="26" t="s">
        <v>106</v>
      </c>
      <c r="J40" s="26" t="s">
        <v>25</v>
      </c>
      <c r="K40" s="26" t="s">
        <v>107</v>
      </c>
      <c r="L40" s="26" t="s">
        <v>108</v>
      </c>
      <c r="M40" s="26" t="s">
        <v>109</v>
      </c>
      <c r="N40" s="26" t="s">
        <v>110</v>
      </c>
      <c r="O40" s="26" t="s">
        <v>111</v>
      </c>
      <c r="P40" s="26" t="s">
        <v>112</v>
      </c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61.5" hidden="false" customHeight="true" outlineLevel="0" collapsed="false">
      <c r="A41" s="30" t="n">
        <v>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3" t="str">
        <f aca="false">IF(COUNT(I41:L41)=4,SUM(I41:L41),"")</f>
        <v/>
      </c>
      <c r="N41" s="23" t="str">
        <f aca="false">IF(ISNUMBER(M41),RANK(M41,$M$41:$M$46)+COUNTIF($M$41:M41,M41)-1,"")</f>
        <v/>
      </c>
      <c r="O41" s="15"/>
      <c r="P41" s="15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61.5" hidden="false" customHeight="true" outlineLevel="0" collapsed="false">
      <c r="A42" s="30" t="n">
        <v>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3" t="str">
        <f aca="false">IF(COUNT(I42:L42)=4,SUM(I42:L42),"")</f>
        <v/>
      </c>
      <c r="N42" s="23" t="str">
        <f aca="false">IF(ISNUMBER(M42),RANK(M42,$M$41:$M$46)+COUNTIF($M$41:M42,M42)-1,"")</f>
        <v/>
      </c>
      <c r="O42" s="15"/>
      <c r="P42" s="15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61.5" hidden="false" customHeight="true" outlineLevel="0" collapsed="false">
      <c r="A43" s="30" t="n">
        <v>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3" t="str">
        <f aca="false">IF(COUNT(I43:L43)=4,SUM(I43:L43),"")</f>
        <v/>
      </c>
      <c r="N43" s="23" t="str">
        <f aca="false">IF(ISNUMBER(M43),RANK(M43,$M$41:$M$46)+COUNTIF($M$41:M43,M43)-1,"")</f>
        <v/>
      </c>
      <c r="O43" s="15"/>
      <c r="P43" s="15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61.5" hidden="false" customHeight="true" outlineLevel="0" collapsed="false">
      <c r="A44" s="30" t="n">
        <v>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3" t="str">
        <f aca="false">IF(COUNT(I44:L44)=4,SUM(I44:L44),"")</f>
        <v/>
      </c>
      <c r="N44" s="23" t="str">
        <f aca="false">IF(ISNUMBER(M44),RANK(M44,$M$41:$M$46)+COUNTIF($M$41:M44,M44)-1,"")</f>
        <v/>
      </c>
      <c r="O44" s="15"/>
      <c r="P44" s="15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61.5" hidden="false" customHeight="true" outlineLevel="0" collapsed="false">
      <c r="A45" s="30" t="n">
        <v>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3" t="str">
        <f aca="false">IF(COUNT(I45:L45)=4,SUM(I45:L45),"")</f>
        <v/>
      </c>
      <c r="N45" s="23" t="str">
        <f aca="false">IF(ISNUMBER(M45),RANK(M45,$M$41:$M$46)+COUNTIF($M$41:M45,M45)-1,"")</f>
        <v/>
      </c>
      <c r="O45" s="15"/>
      <c r="P45" s="15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61.5" hidden="false" customHeight="true" outlineLevel="0" collapsed="false">
      <c r="A46" s="30" t="n">
        <v>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3" t="str">
        <f aca="false">IF(COUNT(I46:L46)=4,SUM(I46:L46),"")</f>
        <v/>
      </c>
      <c r="N46" s="23" t="str">
        <f aca="false">IF(ISNUMBER(M46),RANK(M46,$M$41:$M$46)+COUNTIF($M$41:M46,M46)-1,"")</f>
        <v/>
      </c>
      <c r="O46" s="15"/>
      <c r="P46" s="15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5.75" hidden="false" customHeight="true" outlineLevel="0" collapsed="false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5.75" hidden="false" customHeight="true" outlineLevel="0" collapsed="false">
      <c r="A48" s="16" t="s">
        <v>131</v>
      </c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5" hidden="false" customHeight="true" outlineLevel="0" collapsed="false">
      <c r="A49" s="18" t="s">
        <v>132</v>
      </c>
      <c r="B49" s="18"/>
      <c r="C49" s="30" t="n">
        <f aca="false">COUNTA(E41:E46)</f>
        <v>0</v>
      </c>
      <c r="D49" s="31" t="str">
        <f aca="false">IF(C49&gt;=6,"✓","✗")</f>
        <v>✗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34.5" hidden="false" customHeight="true" outlineLevel="0" collapsed="false">
      <c r="A50" s="18" t="s">
        <v>133</v>
      </c>
      <c r="B50" s="18"/>
      <c r="C50" s="30" t="n">
        <f aca="false" t="array" ref="C50:C50">SUMPRODUCT((B41:B46&lt;&gt;"")*(COUNTIF(B41:B46,B41:B46)&lt;&gt;3)/COUNTIF(B41:B46,B41:B46&amp;""))</f>
        <v>0</v>
      </c>
      <c r="D50" s="31" t="str">
        <f aca="false">IF(AND(C50=0,COUNTA(B41:B46)=6),"✓","✗")</f>
        <v>✗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23.25" hidden="false" customHeight="true" outlineLevel="0" collapsed="false">
      <c r="A51" s="18" t="s">
        <v>134</v>
      </c>
      <c r="B51" s="18"/>
      <c r="C51" s="30" t="n">
        <f aca="false" t="array" ref="C51:C51">SUMPRODUCT(--(COUNTIF(C41:C46,Довідники!$A$2:$A$6)&gt;0))</f>
        <v>0</v>
      </c>
      <c r="D51" s="31" t="str">
        <f aca="false">IF(C51&gt;=3,"✓","✗")</f>
        <v>✗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customFormat="false" ht="23.25" hidden="false" customHeight="true" outlineLevel="0" collapsed="false">
      <c r="A52" s="18" t="s">
        <v>135</v>
      </c>
      <c r="B52" s="18"/>
      <c r="C52" s="30" t="n">
        <f aca="false">COUNTIF(P41:P46,"так")</f>
        <v>0</v>
      </c>
      <c r="D52" s="31" t="str">
        <f aca="false">IF(C52&gt;=1,"✓","✗")</f>
        <v>✗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customFormat="false" ht="23.25" hidden="false" customHeight="true" outlineLevel="0" collapsed="false">
      <c r="A53" s="18" t="s">
        <v>136</v>
      </c>
      <c r="B53" s="18"/>
      <c r="C53" s="30" t="n">
        <f aca="false">SUMPRODUCT((E41:E46&lt;&gt;"")*(((F41:F46="")+(G41:G46=""))&gt;0))</f>
        <v>0</v>
      </c>
      <c r="D53" s="31" t="str">
        <f aca="false">IF(C53=0,"✓","✗")</f>
        <v>✓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customFormat="false" ht="23.25" hidden="false" customHeight="true" outlineLevel="0" collapsed="false">
      <c r="A54" s="18" t="s">
        <v>137</v>
      </c>
      <c r="B54" s="18"/>
      <c r="C54" s="30" t="n">
        <f aca="false">SUMPRODUCT((E41:E46&lt;&gt;"")*(((I41:I46="")+(J41:J46="")+(K41:K46="")+(L41:L46=""))&gt;0))</f>
        <v>0</v>
      </c>
      <c r="D54" s="31" t="str">
        <f aca="false">IF(C54=0,"✓","✗")</f>
        <v>✓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customFormat="false" ht="34.5" hidden="false" customHeight="true" outlineLevel="0" collapsed="false">
      <c r="A55" s="18" t="s">
        <v>138</v>
      </c>
      <c r="B55" s="18"/>
      <c r="C55" s="30" t="n">
        <f aca="false">SUMPRODUCT(ISNUMBER(N41:N46)*(N41:N46=1)*(O41:O46=""))</f>
        <v>0</v>
      </c>
      <c r="D55" s="31" t="str">
        <f aca="false">IF(C55=0,"✓","✗")</f>
        <v>✓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customFormat="false" ht="15.7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customFormat="false" ht="15.7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customFormat="false" ht="15.7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customFormat="false" ht="15.7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customFormat="false" ht="15.7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customFormat="false" ht="15.7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customFormat="false" ht="15.7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customFormat="false" ht="15.7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customFormat="false" ht="15.7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customFormat="false" ht="15.7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customFormat="false" ht="15.7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customFormat="false" ht="15.7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customFormat="false" ht="15.7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customFormat="false" ht="15.7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customFormat="false" ht="15.7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customFormat="false" ht="15.7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customFormat="false" ht="15.7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customFormat="false" ht="15.7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customFormat="false" ht="15.7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customFormat="false" ht="15.7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customFormat="false" ht="15.7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customFormat="false" ht="15.7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customFormat="false" ht="15.7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customFormat="false" ht="15.7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customFormat="false" ht="15.7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customFormat="false" ht="15.7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customFormat="false" ht="15.7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customFormat="false" ht="15.7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customFormat="false" ht="15.7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customFormat="false" ht="15.7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customFormat="false" ht="15.7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customFormat="false" ht="15.7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customFormat="false" ht="15.7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customFormat="false" ht="15.7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customFormat="false" ht="15.7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customFormat="false" ht="15.7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customFormat="false" ht="15.75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customFormat="false" ht="15.7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customFormat="false" ht="15.7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customFormat="false" ht="15.7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customFormat="false" ht="15.7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customFormat="false" ht="15.7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customFormat="false" ht="15.7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customFormat="false" ht="15.7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customFormat="false" ht="15.7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customFormat="false" ht="15.7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customFormat="false" ht="15.7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customFormat="false" ht="15.7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customFormat="false" ht="15.7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customFormat="false" ht="15.7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customFormat="false" ht="15.7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customFormat="false" ht="15.7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customFormat="false" ht="15.7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customFormat="false" ht="15.7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customFormat="false" ht="15.7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customFormat="false" ht="15.7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customFormat="false" ht="15.7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customFormat="false" ht="15.75" hidden="false" customHeight="tru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customFormat="false" ht="15.7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customFormat="false" ht="15.7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customFormat="false" ht="15.7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customFormat="false" ht="15.7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customFormat="false" ht="15.7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customFormat="false" ht="15.7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customFormat="false" ht="15.7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customFormat="false" ht="15.7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customFormat="false" ht="15.7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customFormat="false" ht="15.7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customFormat="false" ht="15.7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customFormat="false" ht="15.7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customFormat="false" ht="15.7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customFormat="false" ht="15.7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customFormat="false" ht="15.7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customFormat="false" ht="15.7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customFormat="false" ht="15.7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customFormat="false" ht="15.7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customFormat="false" ht="15.7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customFormat="false" ht="15.7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customFormat="false" ht="15.7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customFormat="false" ht="15.7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customFormat="false" ht="15.7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customFormat="false" ht="15.7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customFormat="false" ht="15.75" hidden="false" customHeight="tru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customFormat="false" ht="15.75" hidden="false" customHeight="tru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customFormat="false" ht="15.75" hidden="false" customHeight="tru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customFormat="false" ht="15.75" hidden="false" customHeight="tru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customFormat="false" ht="15.75" hidden="false" customHeight="tru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customFormat="false" ht="15.75" hidden="false" customHeight="tru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customFormat="false" ht="15.75" hidden="false" customHeight="tru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customFormat="false" ht="15.75" hidden="false" customHeight="tru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customFormat="false" ht="15.75" hidden="false" customHeight="tru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customFormat="false" ht="15.75" hidden="false" customHeight="tru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customFormat="false" ht="15.75" hidden="false" customHeight="tru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customFormat="false" ht="15.7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customFormat="false" ht="15.7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customFormat="false" ht="15.7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customFormat="false" ht="15.7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customFormat="false" ht="15.7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customFormat="false" ht="15.7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customFormat="false" ht="15.7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customFormat="false" ht="15.7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customFormat="false" ht="15.7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customFormat="false" ht="15.7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customFormat="false" ht="15.7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customFormat="false" ht="15.7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customFormat="false" ht="15.7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customFormat="false" ht="15.7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customFormat="false" ht="15.7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customFormat="false" ht="15.7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customFormat="false" ht="15.7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customFormat="false" ht="15.7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customFormat="false" ht="15.7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customFormat="false" ht="15.7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customFormat="false" ht="15.7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customFormat="false" ht="15.7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customFormat="false" ht="15.7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customFormat="false" ht="15.7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customFormat="false" ht="15.7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customFormat="false" ht="15.7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customFormat="false" ht="15.7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customFormat="false" ht="15.7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customFormat="false" ht="15.7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customFormat="false" ht="15.7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customFormat="false" ht="15.7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customFormat="false" ht="15.7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customFormat="false" ht="15.7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customFormat="false" ht="15.7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customFormat="false" ht="15.7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customFormat="false" ht="15.7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customFormat="false" ht="15.7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customFormat="false" ht="15.7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customFormat="false" ht="15.7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customFormat="false" ht="15.7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customFormat="false" ht="15.7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customFormat="false" ht="15.7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customFormat="false" ht="15.7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customFormat="false" ht="15.7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customFormat="false" ht="15.7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customFormat="false" ht="15.7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customFormat="false" ht="15.7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customFormat="false" ht="15.7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customFormat="false" ht="15.7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customFormat="false" ht="15.7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customFormat="false" ht="15.7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customFormat="false" ht="15.7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customFormat="false" ht="15.75" hidden="false" customHeight="tru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customFormat="false" ht="15.75" hidden="false" customHeight="tru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customFormat="false" ht="15.75" hidden="false" customHeight="tru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customFormat="false" ht="15.75" hidden="false" customHeight="tru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customFormat="false" ht="15.75" hidden="false" customHeight="tru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customFormat="false" ht="15.75" hidden="false" customHeight="tru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customFormat="false" ht="15.75" hidden="false" customHeight="tru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customFormat="false" ht="15.75" hidden="false" customHeight="tru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customFormat="false" ht="15.75" hidden="false" customHeight="tru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customFormat="false" ht="15.75" hidden="false" customHeight="tru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customFormat="false" ht="15.75" hidden="false" customHeight="tru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customFormat="false" ht="15.75" hidden="false" customHeight="tru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customFormat="false" ht="15.75" hidden="false" customHeight="tru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customFormat="false" ht="15.75" hidden="false" customHeight="tru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customFormat="false" ht="15.75" hidden="false" customHeight="tru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customFormat="false" ht="15.75" hidden="false" customHeight="tru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customFormat="false" ht="15.75" hidden="false" customHeight="tru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customFormat="false" ht="15.75" hidden="false" customHeight="tru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customFormat="false" ht="15.75" hidden="false" customHeight="tru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customFormat="false" ht="15.75" hidden="false" customHeight="tru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customFormat="false" ht="15.75" hidden="false" customHeight="tru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customFormat="false" ht="15.75" hidden="false" customHeight="tru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customFormat="false" ht="15.75" hidden="false" customHeight="tru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customFormat="false" ht="15.75" hidden="false" customHeight="tru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customFormat="false" ht="15.75" hidden="false" customHeight="tru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customFormat="false" ht="15.75" hidden="false" customHeight="tru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customFormat="false" ht="15.75" hidden="false" customHeight="tru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customFormat="false" ht="15.75" hidden="false" customHeight="tru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customFormat="false" ht="15.75" hidden="false" customHeight="tru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customFormat="false" ht="15.75" hidden="false" customHeight="tru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customFormat="false" ht="15.75" hidden="false" customHeight="tru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customFormat="false" ht="15.75" hidden="false" customHeight="tru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customFormat="false" ht="15.75" hidden="false" customHeight="tru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customFormat="false" ht="15.75" hidden="false" customHeight="tru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customFormat="false" ht="15.75" hidden="false" customHeight="tru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customFormat="false" ht="15.75" hidden="false" customHeight="tru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customFormat="false" ht="15.75" hidden="false" customHeight="tru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customFormat="false" ht="15.75" hidden="false" customHeight="tru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customFormat="false" ht="15.75" hidden="false" customHeight="tru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customFormat="false" ht="15.75" hidden="false" customHeight="tru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customFormat="false" ht="15.75" hidden="false" customHeight="tru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customFormat="false" ht="15.75" hidden="false" customHeight="tru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customFormat="false" ht="15.75" hidden="false" customHeight="tru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customFormat="false" ht="15.75" hidden="false" customHeight="tru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customFormat="false" ht="15.75" hidden="false" customHeight="tru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customFormat="false" ht="15.75" hidden="false" customHeight="tru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customFormat="false" ht="15.75" hidden="false" customHeight="tru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customFormat="false" ht="15.75" hidden="false" customHeight="tru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customFormat="false" ht="15.75" hidden="false" customHeight="tru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customFormat="false" ht="15.75" hidden="false" customHeight="tru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customFormat="false" ht="15.75" hidden="false" customHeight="tru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customFormat="false" ht="15.75" hidden="false" customHeight="tru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customFormat="false" ht="15.7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customFormat="false" ht="15.75" hidden="false" customHeight="tru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customFormat="false" ht="15.75" hidden="false" customHeight="tru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customFormat="false" ht="15.75" hidden="false" customHeight="tru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customFormat="false" ht="15.75" hidden="false" customHeight="tru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customFormat="false" ht="15.75" hidden="false" customHeight="tru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customFormat="false" ht="15.75" hidden="false" customHeight="tru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customFormat="false" ht="15.75" hidden="false" customHeight="tru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customFormat="false" ht="15.75" hidden="false" customHeight="tru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customFormat="false" ht="15.7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customFormat="false" ht="15.75" hidden="false" customHeight="tru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customFormat="false" ht="15.75" hidden="false" customHeight="tru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customFormat="false" ht="15.75" hidden="false" customHeight="tru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customFormat="false" ht="15.75" hidden="false" customHeight="tru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customFormat="false" ht="15.75" hidden="false" customHeight="tru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customFormat="false" ht="15.75" hidden="false" customHeight="tru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customFormat="false" ht="15.75" hidden="false" customHeight="tru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customFormat="false" ht="15.75" hidden="false" customHeight="tru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customFormat="false" ht="15.7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customFormat="false" ht="15.75" hidden="false" customHeight="tru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customFormat="false" ht="15.75" hidden="false" customHeight="tru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customFormat="false" ht="15.7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customFormat="false" ht="15.75" hidden="false" customHeight="tru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customFormat="false" ht="15.75" hidden="false" customHeight="tru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customFormat="false" ht="15.75" hidden="false" customHeight="tru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customFormat="false" ht="15.75" hidden="false" customHeight="tru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customFormat="false" ht="15.75" hidden="false" customHeight="tru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customFormat="false" ht="15.7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customFormat="false" ht="15.7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customFormat="false" ht="15.7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customFormat="false" ht="15.7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customFormat="false" ht="15.7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customFormat="false" ht="15.7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customFormat="false" ht="15.7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customFormat="false" ht="15.7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customFormat="false" ht="15.7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customFormat="false" ht="15.7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customFormat="false" ht="15.7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customFormat="false" ht="15.7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customFormat="false" ht="15.7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customFormat="false" ht="15.7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customFormat="false" ht="15.7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customFormat="false" ht="15.7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customFormat="false" ht="15.7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customFormat="false" ht="15.7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customFormat="false" ht="15.7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customFormat="false" ht="15.7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customFormat="false" ht="15.7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customFormat="false" ht="15.7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customFormat="false" ht="15.7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customFormat="false" ht="15.7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customFormat="false" ht="15.7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customFormat="false" ht="15.7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customFormat="false" ht="15.7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customFormat="false" ht="15.7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customFormat="false" ht="15.7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customFormat="false" ht="15.7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customFormat="false" ht="15.7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customFormat="false" ht="15.7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customFormat="false" ht="15.7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customFormat="false" ht="15.7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customFormat="false" ht="15.7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customFormat="false" ht="15.7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customFormat="false" ht="15.7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customFormat="false" ht="15.7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customFormat="false" ht="15.7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customFormat="false" ht="15.7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customFormat="false" ht="15.7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customFormat="false" ht="15.7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customFormat="false" ht="15.7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customFormat="false" ht="15.7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customFormat="false" ht="15.7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customFormat="false" ht="15.7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customFormat="false" ht="15.7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customFormat="false" ht="15.7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customFormat="false" ht="15.7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customFormat="false" ht="15.7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customFormat="false" ht="15.7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customFormat="false" ht="15.7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customFormat="false" ht="15.7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customFormat="false" ht="15.7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customFormat="false" ht="15.7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customFormat="false" ht="15.7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customFormat="false" ht="15.7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customFormat="false" ht="15.7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customFormat="false" ht="15.7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customFormat="false" ht="15.7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customFormat="false" ht="15.7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customFormat="false" ht="15.7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customFormat="false" ht="15.7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customFormat="false" ht="15.7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customFormat="false" ht="15.7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customFormat="false" ht="15.7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customFormat="false" ht="15.7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customFormat="false" ht="15.7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customFormat="false" ht="15.7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customFormat="false" ht="15.7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customFormat="false" ht="15.7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customFormat="false" ht="15.7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customFormat="false" ht="15.7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customFormat="false" ht="15.7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customFormat="false" ht="15.7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customFormat="false" ht="15.7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customFormat="false" ht="15.7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customFormat="false" ht="15.7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customFormat="false" ht="15.7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customFormat="false" ht="15.7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customFormat="false" ht="15.7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customFormat="false" ht="15.7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customFormat="false" ht="15.7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customFormat="false" ht="15.7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customFormat="false" ht="15.7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customFormat="false" ht="15.7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customFormat="false" ht="15.7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customFormat="false" ht="15.7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customFormat="false" ht="15.7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customFormat="false" ht="15.7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customFormat="false" ht="15.7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customFormat="false" ht="15.7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customFormat="false" ht="15.7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customFormat="false" ht="15.7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customFormat="false" ht="15.7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customFormat="false" ht="15.7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customFormat="false" ht="15.7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customFormat="false" ht="15.7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customFormat="false" ht="15.7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customFormat="false" ht="15.7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customFormat="false" ht="15.7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customFormat="false" ht="15.7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customFormat="false" ht="15.7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customFormat="false" ht="15.7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customFormat="false" ht="15.7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customFormat="false" ht="15.7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customFormat="false" ht="15.7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customFormat="false" ht="15.7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customFormat="false" ht="15.7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customFormat="false" ht="15.7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customFormat="false" ht="15.7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customFormat="false" ht="15.7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customFormat="false" ht="15.7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customFormat="false" ht="15.7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customFormat="false" ht="15.7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customFormat="false" ht="15.7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customFormat="false" ht="15.7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customFormat="false" ht="15.7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customFormat="false" ht="15.7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customFormat="false" ht="15.7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customFormat="false" ht="15.7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customFormat="false" ht="15.7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customFormat="false" ht="15.7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customFormat="false" ht="15.7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customFormat="false" ht="15.7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customFormat="false" ht="15.7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customFormat="false" ht="15.7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customFormat="false" ht="15.7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customFormat="false" ht="15.7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customFormat="false" ht="15.7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customFormat="false" ht="15.7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customFormat="false" ht="15.7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customFormat="false" ht="15.7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customFormat="false" ht="15.7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customFormat="false" ht="15.7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customFormat="false" ht="15.7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customFormat="false" ht="15.7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customFormat="false" ht="15.7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customFormat="false" ht="15.7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customFormat="false" ht="15.7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customFormat="false" ht="15.7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customFormat="false" ht="15.7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customFormat="false" ht="15.7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customFormat="false" ht="15.7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customFormat="false" ht="15.7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customFormat="false" ht="15.7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customFormat="false" ht="15.7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customFormat="false" ht="15.7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customFormat="false" ht="15.7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customFormat="false" ht="15.7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customFormat="false" ht="15.7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customFormat="false" ht="15.7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customFormat="false" ht="15.7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customFormat="false" ht="15.7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customFormat="false" ht="15.7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customFormat="false" ht="15.7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customFormat="false" ht="15.7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customFormat="false" ht="15.7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customFormat="false" ht="15.7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customFormat="false" ht="15.7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customFormat="false" ht="15.7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customFormat="false" ht="15.7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customFormat="false" ht="15.7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customFormat="false" ht="15.7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customFormat="false" ht="15.7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customFormat="false" ht="15.7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customFormat="false" ht="15.7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customFormat="false" ht="15.7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customFormat="false" ht="15.7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customFormat="false" ht="15.7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customFormat="false" ht="15.7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customFormat="false" ht="15.7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customFormat="false" ht="15.7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customFormat="false" ht="15.7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customFormat="false" ht="15.7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customFormat="false" ht="15.7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customFormat="false" ht="15.7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customFormat="false" ht="15.7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customFormat="false" ht="15.7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customFormat="false" ht="15.7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customFormat="false" ht="15.7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customFormat="false" ht="15.7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customFormat="false" ht="15.7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customFormat="false" ht="15.7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customFormat="false" ht="15.7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customFormat="false" ht="15.7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customFormat="false" ht="15.7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customFormat="false" ht="15.7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customFormat="false" ht="15.7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customFormat="false" ht="15.7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customFormat="false" ht="15.7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customFormat="false" ht="15.7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customFormat="false" ht="15.7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customFormat="false" ht="15.7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customFormat="false" ht="15.7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customFormat="false" ht="15.7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customFormat="false" ht="15.7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customFormat="false" ht="15.7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customFormat="false" ht="15.7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customFormat="false" ht="15.7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customFormat="false" ht="15.7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customFormat="false" ht="15.7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customFormat="false" ht="15.7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customFormat="false" ht="15.7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customFormat="false" ht="15.7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customFormat="false" ht="15.7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customFormat="false" ht="15.7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customFormat="false" ht="15.7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customFormat="false" ht="15.7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customFormat="false" ht="15.7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customFormat="false" ht="15.7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customFormat="false" ht="15.7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customFormat="false" ht="15.7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customFormat="false" ht="15.7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customFormat="false" ht="15.7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customFormat="false" ht="15.7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customFormat="false" ht="15.7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customFormat="false" ht="15.7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customFormat="false" ht="15.7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customFormat="false" ht="15.7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customFormat="false" ht="15.7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customFormat="false" ht="15.7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customFormat="false" ht="15.75" hidden="false" customHeight="tru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customFormat="false" ht="15.75" hidden="false" customHeight="tru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customFormat="false" ht="15.75" hidden="false" customHeight="tru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customFormat="false" ht="15.75" hidden="false" customHeight="tru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customFormat="false" ht="15.75" hidden="false" customHeight="tru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customFormat="false" ht="15.75" hidden="false" customHeight="tru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customFormat="false" ht="15.75" hidden="false" customHeight="tru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customFormat="false" ht="15.75" hidden="false" customHeight="tru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customFormat="false" ht="15.75" hidden="false" customHeight="tru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customFormat="false" ht="15.75" hidden="false" customHeight="tru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customFormat="false" ht="15.75" hidden="false" customHeight="tru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customFormat="false" ht="15.75" hidden="false" customHeight="tru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customFormat="false" ht="15.75" hidden="false" customHeight="tru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customFormat="false" ht="15.75" hidden="false" customHeight="tru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customFormat="false" ht="15.75" hidden="false" customHeight="tru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customFormat="false" ht="15.75" hidden="false" customHeight="tru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customFormat="false" ht="15.75" hidden="false" customHeight="tru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customFormat="false" ht="15.75" hidden="false" customHeight="tru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customFormat="false" ht="15.75" hidden="false" customHeight="tru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customFormat="false" ht="15.75" hidden="false" customHeight="tru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customFormat="false" ht="15.75" hidden="false" customHeight="tru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customFormat="false" ht="15.75" hidden="false" customHeight="tru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customFormat="false" ht="15.75" hidden="false" customHeight="tru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customFormat="false" ht="15.75" hidden="false" customHeight="tru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customFormat="false" ht="15.75" hidden="false" customHeight="tru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customFormat="false" ht="15.75" hidden="false" customHeight="tru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customFormat="false" ht="15.75" hidden="false" customHeight="tru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customFormat="false" ht="15.75" hidden="false" customHeight="tru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customFormat="false" ht="15.75" hidden="false" customHeight="tru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customFormat="false" ht="15.75" hidden="false" customHeight="tru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customFormat="false" ht="15.75" hidden="false" customHeight="tru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customFormat="false" ht="15.75" hidden="false" customHeight="tru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customFormat="false" ht="15.75" hidden="false" customHeight="tru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customFormat="false" ht="15.75" hidden="false" customHeight="tru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customFormat="false" ht="15.75" hidden="false" customHeight="tru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customFormat="false" ht="15.75" hidden="false" customHeight="tru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customFormat="false" ht="15.75" hidden="false" customHeight="tru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customFormat="false" ht="15.75" hidden="false" customHeight="tru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customFormat="false" ht="15.75" hidden="false" customHeight="tru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customFormat="false" ht="15.75" hidden="false" customHeight="tru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customFormat="false" ht="15.75" hidden="false" customHeight="tru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customFormat="false" ht="15.75" hidden="false" customHeight="tru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customFormat="false" ht="15.75" hidden="false" customHeight="tru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customFormat="false" ht="15.75" hidden="false" customHeight="tru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customFormat="false" ht="15.75" hidden="false" customHeight="tru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customFormat="false" ht="15.75" hidden="false" customHeight="tru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customFormat="false" ht="15.75" hidden="false" customHeight="tru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customFormat="false" ht="15.75" hidden="false" customHeight="tru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customFormat="false" ht="15.75" hidden="false" customHeight="tru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customFormat="false" ht="15.75" hidden="false" customHeight="tru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customFormat="false" ht="15.75" hidden="false" customHeight="tru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customFormat="false" ht="15.75" hidden="false" customHeight="tru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customFormat="false" ht="15.75" hidden="false" customHeight="tru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customFormat="false" ht="15.75" hidden="false" customHeight="tru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customFormat="false" ht="15.75" hidden="false" customHeight="tru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customFormat="false" ht="15.75" hidden="false" customHeight="tru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customFormat="false" ht="15.75" hidden="false" customHeight="tru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customFormat="false" ht="15.75" hidden="false" customHeight="tru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customFormat="false" ht="15.75" hidden="false" customHeight="tru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customFormat="false" ht="15.75" hidden="false" customHeight="tru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customFormat="false" ht="15.75" hidden="false" customHeight="tru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customFormat="false" ht="15.75" hidden="false" customHeight="tru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customFormat="false" ht="15.75" hidden="false" customHeight="tru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customFormat="false" ht="15.75" hidden="false" customHeight="tru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customFormat="false" ht="15.75" hidden="false" customHeight="tru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customFormat="false" ht="15.75" hidden="false" customHeight="tru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customFormat="false" ht="15.75" hidden="false" customHeight="tru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customFormat="false" ht="15.75" hidden="false" customHeight="tru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customFormat="false" ht="15.75" hidden="false" customHeight="tru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customFormat="false" ht="15.75" hidden="false" customHeight="tru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customFormat="false" ht="15.75" hidden="false" customHeight="tru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customFormat="false" ht="15.75" hidden="false" customHeight="tru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customFormat="false" ht="15.75" hidden="false" customHeight="tru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customFormat="false" ht="15.75" hidden="false" customHeight="tru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customFormat="false" ht="15.75" hidden="false" customHeight="tru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customFormat="false" ht="15.75" hidden="false" customHeight="tru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customFormat="false" ht="15.75" hidden="false" customHeight="tru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customFormat="false" ht="15.75" hidden="false" customHeight="tru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customFormat="false" ht="15.75" hidden="false" customHeight="tru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customFormat="false" ht="15.75" hidden="false" customHeight="tru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customFormat="false" ht="15.75" hidden="false" customHeight="tru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customFormat="false" ht="15.75" hidden="false" customHeight="tru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customFormat="false" ht="15.75" hidden="false" customHeight="tru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customFormat="false" ht="15.75" hidden="false" customHeight="tru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customFormat="false" ht="15.75" hidden="false" customHeight="tru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customFormat="false" ht="15.75" hidden="false" customHeight="tru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customFormat="false" ht="15.75" hidden="false" customHeight="tru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customFormat="false" ht="15.75" hidden="false" customHeight="tru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customFormat="false" ht="15.75" hidden="false" customHeight="tru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customFormat="false" ht="15.75" hidden="false" customHeight="tru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customFormat="false" ht="15.75" hidden="false" customHeight="tru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customFormat="false" ht="15.75" hidden="false" customHeight="tru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customFormat="false" ht="15.75" hidden="false" customHeight="tru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customFormat="false" ht="15.75" hidden="false" customHeight="tru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customFormat="false" ht="15.75" hidden="false" customHeight="tru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customFormat="false" ht="15.75" hidden="false" customHeight="tru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customFormat="false" ht="15.75" hidden="false" customHeight="tru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customFormat="false" ht="15.75" hidden="false" customHeight="tru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customFormat="false" ht="15.75" hidden="false" customHeight="tru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customFormat="false" ht="15.75" hidden="false" customHeight="tru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customFormat="false" ht="15.75" hidden="false" customHeight="tru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customFormat="false" ht="15.75" hidden="false" customHeight="tru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customFormat="false" ht="15.75" hidden="false" customHeight="tru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customFormat="false" ht="15.75" hidden="false" customHeight="tru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customFormat="false" ht="15.75" hidden="false" customHeight="tru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customFormat="false" ht="15.75" hidden="false" customHeight="tru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customFormat="false" ht="15.75" hidden="false" customHeight="tru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customFormat="false" ht="15.75" hidden="false" customHeight="tru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customFormat="false" ht="15.75" hidden="false" customHeight="tru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customFormat="false" ht="15.75" hidden="false" customHeight="tru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customFormat="false" ht="15.75" hidden="false" customHeight="tru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customFormat="false" ht="15.75" hidden="false" customHeight="tru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customFormat="false" ht="15.75" hidden="false" customHeight="tru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customFormat="false" ht="15.75" hidden="false" customHeight="tru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customFormat="false" ht="15.75" hidden="false" customHeight="tru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customFormat="false" ht="15.75" hidden="false" customHeight="tru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customFormat="false" ht="15.75" hidden="false" customHeight="tru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customFormat="false" ht="15.75" hidden="false" customHeight="tru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customFormat="false" ht="15.75" hidden="false" customHeight="tru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customFormat="false" ht="15.75" hidden="false" customHeight="tru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customFormat="false" ht="15.75" hidden="false" customHeight="tru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customFormat="false" ht="15.75" hidden="false" customHeight="tru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customFormat="false" ht="15.75" hidden="false" customHeight="tru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customFormat="false" ht="15.75" hidden="false" customHeight="tru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customFormat="false" ht="15.75" hidden="false" customHeight="tru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customFormat="false" ht="15.75" hidden="false" customHeight="tru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customFormat="false" ht="15.75" hidden="false" customHeight="tru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customFormat="false" ht="15.75" hidden="false" customHeight="tru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customFormat="false" ht="15.75" hidden="false" customHeight="tru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customFormat="false" ht="15.75" hidden="false" customHeight="tru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customFormat="false" ht="15.75" hidden="false" customHeight="tru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customFormat="false" ht="15.75" hidden="false" customHeight="tru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customFormat="false" ht="15.75" hidden="false" customHeight="tru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customFormat="false" ht="15.75" hidden="false" customHeight="tru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customFormat="false" ht="15.75" hidden="false" customHeight="tru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customFormat="false" ht="15.75" hidden="false" customHeight="tru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customFormat="false" ht="15.75" hidden="false" customHeight="tru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customFormat="false" ht="15.75" hidden="false" customHeight="tru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customFormat="false" ht="15.75" hidden="false" customHeight="tru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customFormat="false" ht="15.75" hidden="false" customHeight="tru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customFormat="false" ht="15.75" hidden="false" customHeight="tru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customFormat="false" ht="15.75" hidden="false" customHeight="tru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customFormat="false" ht="15.75" hidden="false" customHeight="tru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customFormat="false" ht="15.75" hidden="false" customHeight="tru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customFormat="false" ht="15.75" hidden="false" customHeight="tru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customFormat="false" ht="15.75" hidden="false" customHeight="tru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customFormat="false" ht="15.75" hidden="false" customHeight="tru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customFormat="false" ht="15.75" hidden="false" customHeight="tru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customFormat="false" ht="15.75" hidden="false" customHeight="tru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customFormat="false" ht="15.75" hidden="false" customHeight="tru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customFormat="false" ht="15.75" hidden="false" customHeight="tru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customFormat="false" ht="15.75" hidden="false" customHeight="tru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customFormat="false" ht="15.75" hidden="false" customHeight="tru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customFormat="false" ht="15.75" hidden="false" customHeight="tru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customFormat="false" ht="15.75" hidden="false" customHeight="tru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customFormat="false" ht="15.75" hidden="false" customHeight="tru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customFormat="false" ht="15.75" hidden="false" customHeight="tru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customFormat="false" ht="15.75" hidden="false" customHeight="tru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customFormat="false" ht="15.75" hidden="false" customHeight="tru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customFormat="false" ht="15.75" hidden="false" customHeight="tru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customFormat="false" ht="15.75" hidden="false" customHeight="tru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customFormat="false" ht="15.75" hidden="false" customHeight="tru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customFormat="false" ht="15.75" hidden="false" customHeight="tru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customFormat="false" ht="15.75" hidden="false" customHeight="tru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customFormat="false" ht="15.75" hidden="false" customHeight="tru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customFormat="false" ht="15.75" hidden="false" customHeight="tru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customFormat="false" ht="15.75" hidden="false" customHeight="tru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customFormat="false" ht="15.75" hidden="false" customHeight="tru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customFormat="false" ht="15.75" hidden="false" customHeight="tru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customFormat="false" ht="15.75" hidden="false" customHeight="tru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customFormat="false" ht="15.75" hidden="false" customHeight="tru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customFormat="false" ht="15.75" hidden="false" customHeight="tru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customFormat="false" ht="15.75" hidden="false" customHeight="tru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customFormat="false" ht="15.75" hidden="false" customHeight="tru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customFormat="false" ht="15.75" hidden="false" customHeight="tru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customFormat="false" ht="15.75" hidden="false" customHeight="tru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customFormat="false" ht="15.75" hidden="false" customHeight="tru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customFormat="false" ht="15.75" hidden="false" customHeight="tru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customFormat="false" ht="15.75" hidden="false" customHeight="tru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customFormat="false" ht="15.75" hidden="false" customHeight="tru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customFormat="false" ht="15.75" hidden="false" customHeight="tru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customFormat="false" ht="15.75" hidden="false" customHeight="tru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customFormat="false" ht="15.75" hidden="false" customHeight="tru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customFormat="false" ht="15.75" hidden="false" customHeight="tru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customFormat="false" ht="15.75" hidden="false" customHeight="tru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customFormat="false" ht="15.75" hidden="false" customHeight="tru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customFormat="false" ht="15.75" hidden="false" customHeight="tru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customFormat="false" ht="15.75" hidden="false" customHeight="tru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customFormat="false" ht="15.75" hidden="false" customHeight="tru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customFormat="false" ht="15.75" hidden="false" customHeight="tru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customFormat="false" ht="15.7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customFormat="false" ht="15.75" hidden="false" customHeight="tru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customFormat="false" ht="15.75" hidden="false" customHeight="tru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customFormat="false" ht="15.75" hidden="false" customHeight="tru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customFormat="false" ht="15.75" hidden="false" customHeight="tru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customFormat="false" ht="15.75" hidden="false" customHeight="tru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customFormat="false" ht="15.75" hidden="false" customHeight="tru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customFormat="false" ht="15.75" hidden="false" customHeight="tru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customFormat="false" ht="15.75" hidden="false" customHeight="tru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customFormat="false" ht="15.75" hidden="false" customHeight="tru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customFormat="false" ht="15.75" hidden="false" customHeight="tru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customFormat="false" ht="15.75" hidden="false" customHeight="tru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customFormat="false" ht="15.75" hidden="false" customHeight="tru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customFormat="false" ht="15.75" hidden="false" customHeight="tru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customFormat="false" ht="15.75" hidden="false" customHeight="tru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customFormat="false" ht="15.75" hidden="false" customHeight="tru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customFormat="false" ht="15.75" hidden="false" customHeight="tru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customFormat="false" ht="15.75" hidden="false" customHeight="tru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customFormat="false" ht="15.75" hidden="false" customHeight="tru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customFormat="false" ht="15.75" hidden="false" customHeight="tru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customFormat="false" ht="15.75" hidden="false" customHeight="tru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customFormat="false" ht="15.75" hidden="false" customHeight="tru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customFormat="false" ht="15.75" hidden="false" customHeight="tru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customFormat="false" ht="15.75" hidden="false" customHeight="tru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customFormat="false" ht="15.75" hidden="false" customHeight="tru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customFormat="false" ht="15.75" hidden="false" customHeight="tru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customFormat="false" ht="15.75" hidden="false" customHeight="tru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customFormat="false" ht="15.75" hidden="false" customHeight="tru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customFormat="false" ht="15.75" hidden="false" customHeight="tru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customFormat="false" ht="15.75" hidden="false" customHeight="tru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customFormat="false" ht="15.75" hidden="false" customHeight="tru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customFormat="false" ht="15.75" hidden="false" customHeight="tru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customFormat="false" ht="15.75" hidden="false" customHeight="tru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customFormat="false" ht="15.75" hidden="false" customHeight="tru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customFormat="false" ht="15.75" hidden="false" customHeight="tru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customFormat="false" ht="15.75" hidden="false" customHeight="tru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customFormat="false" ht="15.75" hidden="false" customHeight="tru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customFormat="false" ht="15.75" hidden="false" customHeight="tru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customFormat="false" ht="15.75" hidden="false" customHeight="tru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customFormat="false" ht="15.75" hidden="false" customHeight="tru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customFormat="false" ht="15.75" hidden="false" customHeight="tru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customFormat="false" ht="15.75" hidden="false" customHeight="tru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customFormat="false" ht="15.75" hidden="false" customHeight="tru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customFormat="false" ht="15.75" hidden="false" customHeight="tru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customFormat="false" ht="15.75" hidden="false" customHeight="tru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customFormat="false" ht="15.75" hidden="false" customHeight="tru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customFormat="false" ht="15.75" hidden="false" customHeight="tru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customFormat="false" ht="15.75" hidden="false" customHeight="tru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customFormat="false" ht="15.75" hidden="false" customHeight="tru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customFormat="false" ht="15.75" hidden="false" customHeight="tru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customFormat="false" ht="15.75" hidden="false" customHeight="tru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customFormat="false" ht="15.75" hidden="false" customHeight="tru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customFormat="false" ht="15.75" hidden="false" customHeight="tru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customFormat="false" ht="15.75" hidden="false" customHeight="tru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customFormat="false" ht="15.75" hidden="false" customHeight="tru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customFormat="false" ht="15.75" hidden="false" customHeight="tru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customFormat="false" ht="15.75" hidden="false" customHeight="tru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customFormat="false" ht="15.75" hidden="false" customHeight="tru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customFormat="false" ht="15.75" hidden="false" customHeight="tru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customFormat="false" ht="15.75" hidden="false" customHeight="tru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customFormat="false" ht="15.75" hidden="false" customHeight="tru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customFormat="false" ht="15.75" hidden="false" customHeight="tru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customFormat="false" ht="15.75" hidden="false" customHeight="tru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customFormat="false" ht="15.75" hidden="false" customHeight="tru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customFormat="false" ht="15.75" hidden="false" customHeight="tru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customFormat="false" ht="15.75" hidden="false" customHeight="tru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customFormat="false" ht="15.75" hidden="false" customHeight="tru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customFormat="false" ht="15.75" hidden="false" customHeight="tru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customFormat="false" ht="15.75" hidden="false" customHeight="tru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customFormat="false" ht="15.75" hidden="false" customHeight="tru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customFormat="false" ht="15.75" hidden="false" customHeight="tru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customFormat="false" ht="15.75" hidden="false" customHeight="tru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customFormat="false" ht="15.75" hidden="false" customHeight="tru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customFormat="false" ht="15.75" hidden="false" customHeight="tru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customFormat="false" ht="15.75" hidden="false" customHeight="tru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customFormat="false" ht="15.75" hidden="false" customHeight="tru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customFormat="false" ht="15.75" hidden="false" customHeight="tru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customFormat="false" ht="15.75" hidden="false" customHeight="tru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customFormat="false" ht="15.75" hidden="false" customHeight="tru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customFormat="false" ht="15.75" hidden="false" customHeight="tru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customFormat="false" ht="15.75" hidden="false" customHeight="tru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customFormat="false" ht="15.75" hidden="false" customHeight="tru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customFormat="false" ht="15.75" hidden="false" customHeight="tru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customFormat="false" ht="15.75" hidden="false" customHeight="tru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customFormat="false" ht="15.75" hidden="false" customHeight="tru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customFormat="false" ht="15.75" hidden="false" customHeight="tru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customFormat="false" ht="15.75" hidden="false" customHeight="tru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customFormat="false" ht="15.75" hidden="false" customHeight="tru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customFormat="false" ht="15.75" hidden="false" customHeight="tru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customFormat="false" ht="15.75" hidden="false" customHeight="tru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customFormat="false" ht="15.75" hidden="false" customHeight="tru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customFormat="false" ht="15.75" hidden="false" customHeight="tru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customFormat="false" ht="15.75" hidden="false" customHeight="tru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customFormat="false" ht="15.75" hidden="false" customHeight="tru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customFormat="false" ht="15.75" hidden="false" customHeight="tru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customFormat="false" ht="15.75" hidden="false" customHeight="tru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customFormat="false" ht="15.75" hidden="false" customHeight="tru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customFormat="false" ht="15.75" hidden="false" customHeight="tru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customFormat="false" ht="15.75" hidden="false" customHeight="tru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customFormat="false" ht="15.75" hidden="false" customHeight="tru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customFormat="false" ht="15.75" hidden="false" customHeight="tru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customFormat="false" ht="15.75" hidden="false" customHeight="tru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customFormat="false" ht="15.75" hidden="false" customHeight="tru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customFormat="false" ht="15.75" hidden="false" customHeight="tru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customFormat="false" ht="15.75" hidden="false" customHeight="tru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customFormat="false" ht="15.75" hidden="false" customHeight="tru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customFormat="false" ht="15.75" hidden="false" customHeight="tru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customFormat="false" ht="15.75" hidden="false" customHeight="tru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customFormat="false" ht="15.75" hidden="false" customHeight="tru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customFormat="false" ht="15.75" hidden="false" customHeight="tru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customFormat="false" ht="15.75" hidden="false" customHeight="tru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customFormat="false" ht="15.75" hidden="false" customHeight="tru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customFormat="false" ht="15.75" hidden="false" customHeight="tru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customFormat="false" ht="15.75" hidden="false" customHeight="tru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customFormat="false" ht="15.75" hidden="false" customHeight="tru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customFormat="false" ht="15.75" hidden="false" customHeight="tru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customFormat="false" ht="15.75" hidden="false" customHeight="tru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customFormat="false" ht="15.75" hidden="false" customHeight="tru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customFormat="false" ht="15.75" hidden="false" customHeight="tru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customFormat="false" ht="15.75" hidden="false" customHeight="tru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customFormat="false" ht="15.75" hidden="false" customHeight="tru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customFormat="false" ht="15.75" hidden="false" customHeight="tru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customFormat="false" ht="15.75" hidden="false" customHeight="tru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customFormat="false" ht="15.75" hidden="false" customHeight="tru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customFormat="false" ht="15.75" hidden="false" customHeight="tru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customFormat="false" ht="15.75" hidden="false" customHeight="tru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customFormat="false" ht="15.75" hidden="false" customHeight="tru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customFormat="false" ht="15.75" hidden="false" customHeight="tru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customFormat="false" ht="15.75" hidden="false" customHeight="tru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customFormat="false" ht="15.75" hidden="false" customHeight="tru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customFormat="false" ht="15.75" hidden="false" customHeight="tru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customFormat="false" ht="15.75" hidden="false" customHeight="tru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customFormat="false" ht="15.75" hidden="false" customHeight="tru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customFormat="false" ht="15.75" hidden="false" customHeight="tru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customFormat="false" ht="15.75" hidden="false" customHeight="tru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customFormat="false" ht="15.75" hidden="false" customHeight="tru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customFormat="false" ht="15.75" hidden="false" customHeight="tru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customFormat="false" ht="15.75" hidden="false" customHeight="tru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customFormat="false" ht="15.75" hidden="false" customHeight="tru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customFormat="false" ht="15.75" hidden="false" customHeight="tru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customFormat="false" ht="15.75" hidden="false" customHeight="tru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customFormat="false" ht="15.75" hidden="false" customHeight="tru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customFormat="false" ht="15.75" hidden="false" customHeight="tru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customFormat="false" ht="15.75" hidden="false" customHeight="tru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customFormat="false" ht="15.75" hidden="false" customHeight="tru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customFormat="false" ht="15.75" hidden="false" customHeight="tru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customFormat="false" ht="15.75" hidden="false" customHeight="tru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customFormat="false" ht="15.75" hidden="false" customHeight="tru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customFormat="false" ht="15.75" hidden="false" customHeight="tru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customFormat="false" ht="15.75" hidden="false" customHeight="tru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customFormat="false" ht="15.75" hidden="false" customHeight="tru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customFormat="false" ht="15.75" hidden="false" customHeight="tru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customFormat="false" ht="15.75" hidden="false" customHeight="tru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customFormat="false" ht="15.75" hidden="false" customHeight="tru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customFormat="false" ht="15.75" hidden="false" customHeight="tru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customFormat="false" ht="15.75" hidden="false" customHeight="tru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customFormat="false" ht="15.75" hidden="false" customHeight="tru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customFormat="false" ht="15.75" hidden="false" customHeight="tru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customFormat="false" ht="15.75" hidden="false" customHeight="tru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customFormat="false" ht="15.75" hidden="false" customHeight="tru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customFormat="false" ht="15.75" hidden="false" customHeight="tru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customFormat="false" ht="15.75" hidden="false" customHeight="tru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customFormat="false" ht="15.75" hidden="false" customHeight="tru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customFormat="false" ht="15.75" hidden="false" customHeight="tru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customFormat="false" ht="15.75" hidden="false" customHeight="tru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customFormat="false" ht="15.75" hidden="false" customHeight="tru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customFormat="false" ht="15.75" hidden="false" customHeight="tru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customFormat="false" ht="15.75" hidden="false" customHeight="tru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customFormat="false" ht="15.75" hidden="false" customHeight="tru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customFormat="false" ht="15.75" hidden="false" customHeight="tru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customFormat="false" ht="15.75" hidden="false" customHeight="tru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customFormat="false" ht="15.75" hidden="false" customHeight="tru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customFormat="false" ht="15.75" hidden="false" customHeight="tru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customFormat="false" ht="15.75" hidden="false" customHeight="tru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customFormat="false" ht="15.75" hidden="false" customHeight="tru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customFormat="false" ht="15.75" hidden="false" customHeight="tru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customFormat="false" ht="15.75" hidden="false" customHeight="tru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customFormat="false" ht="15.75" hidden="false" customHeight="tru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customFormat="false" ht="15.75" hidden="false" customHeight="tru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customFormat="false" ht="15.75" hidden="false" customHeight="tru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customFormat="false" ht="15.75" hidden="false" customHeight="tru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customFormat="false" ht="15.75" hidden="false" customHeight="tru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customFormat="false" ht="15.75" hidden="false" customHeight="tru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customFormat="false" ht="15.75" hidden="false" customHeight="tru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customFormat="false" ht="15.75" hidden="false" customHeight="tru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customFormat="false" ht="15.75" hidden="false" customHeight="tru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customFormat="false" ht="15.75" hidden="false" customHeight="tru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customFormat="false" ht="15.75" hidden="false" customHeight="tru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customFormat="false" ht="15.75" hidden="false" customHeight="tru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customFormat="false" ht="15.75" hidden="false" customHeight="tru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customFormat="false" ht="15.75" hidden="false" customHeight="tru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customFormat="false" ht="15.75" hidden="false" customHeight="tru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customFormat="false" ht="15.75" hidden="false" customHeight="tru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customFormat="false" ht="15.75" hidden="false" customHeight="tru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customFormat="false" ht="15.75" hidden="false" customHeight="tru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customFormat="false" ht="15.75" hidden="false" customHeight="tru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customFormat="false" ht="15.75" hidden="false" customHeight="tru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customFormat="false" ht="15.75" hidden="false" customHeight="tru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customFormat="false" ht="15.75" hidden="false" customHeight="tru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customFormat="false" ht="15.75" hidden="false" customHeight="tru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customFormat="false" ht="15.75" hidden="false" customHeight="tru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customFormat="false" ht="15.75" hidden="false" customHeight="tru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customFormat="false" ht="15.75" hidden="false" customHeight="tru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customFormat="false" ht="15.75" hidden="false" customHeight="tru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customFormat="false" ht="15.75" hidden="false" customHeight="tru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customFormat="false" ht="15.75" hidden="false" customHeight="tru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customFormat="false" ht="15.75" hidden="false" customHeight="tru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customFormat="false" ht="15.75" hidden="false" customHeight="tru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customFormat="false" ht="15.75" hidden="false" customHeight="tru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customFormat="false" ht="15.75" hidden="false" customHeight="tru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customFormat="false" ht="15.75" hidden="false" customHeight="tru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customFormat="false" ht="15.75" hidden="false" customHeight="tru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customFormat="false" ht="15.75" hidden="false" customHeight="tru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customFormat="false" ht="15.75" hidden="false" customHeight="tru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customFormat="false" ht="15.75" hidden="false" customHeight="tru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customFormat="false" ht="15.75" hidden="false" customHeight="tru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customFormat="false" ht="15.75" hidden="false" customHeight="tru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customFormat="false" ht="15.75" hidden="false" customHeight="tru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customFormat="false" ht="15.75" hidden="false" customHeight="tru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customFormat="false" ht="15.75" hidden="false" customHeight="tru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customFormat="false" ht="15.75" hidden="false" customHeight="tru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customFormat="false" ht="15.75" hidden="false" customHeight="tru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customFormat="false" ht="15.75" hidden="false" customHeight="tru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customFormat="false" ht="15.75" hidden="false" customHeight="tru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customFormat="false" ht="15.75" hidden="false" customHeight="tru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customFormat="false" ht="15.75" hidden="false" customHeight="tru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customFormat="false" ht="15.75" hidden="false" customHeight="tru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customFormat="false" ht="15.75" hidden="false" customHeight="tru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customFormat="false" ht="15.75" hidden="false" customHeight="tru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customFormat="false" ht="15.75" hidden="false" customHeight="tru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customFormat="false" ht="15.75" hidden="false" customHeight="tru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customFormat="false" ht="15.75" hidden="false" customHeight="tru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customFormat="false" ht="15.75" hidden="false" customHeight="tru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customFormat="false" ht="15.75" hidden="false" customHeight="tru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customFormat="false" ht="15.75" hidden="false" customHeight="tru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customFormat="false" ht="15.75" hidden="false" customHeight="tru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customFormat="false" ht="15.75" hidden="false" customHeight="tru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customFormat="false" ht="15.75" hidden="false" customHeight="tru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customFormat="false" ht="15.75" hidden="false" customHeight="tru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customFormat="false" ht="15.75" hidden="false" customHeight="tru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customFormat="false" ht="15.75" hidden="false" customHeight="tru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customFormat="false" ht="15.75" hidden="false" customHeight="tru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customFormat="false" ht="15.75" hidden="false" customHeight="tru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customFormat="false" ht="15.75" hidden="false" customHeight="tru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customFormat="false" ht="15.75" hidden="false" customHeight="tru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customFormat="false" ht="15.75" hidden="false" customHeight="tru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customFormat="false" ht="15.75" hidden="false" customHeight="tru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customFormat="false" ht="15.75" hidden="false" customHeight="tru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customFormat="false" ht="15.75" hidden="false" customHeight="tru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customFormat="false" ht="15.75" hidden="false" customHeight="tru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customFormat="false" ht="15.75" hidden="false" customHeight="tru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customFormat="false" ht="15.75" hidden="false" customHeight="tru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customFormat="false" ht="15.75" hidden="false" customHeight="tru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customFormat="false" ht="15.75" hidden="false" customHeight="tru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customFormat="false" ht="15.75" hidden="false" customHeight="tru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customFormat="false" ht="15.75" hidden="false" customHeight="tru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customFormat="false" ht="15.75" hidden="false" customHeight="tru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customFormat="false" ht="15.75" hidden="false" customHeight="tru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customFormat="false" ht="15.75" hidden="false" customHeight="tru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customFormat="false" ht="15.75" hidden="false" customHeight="tru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customFormat="false" ht="15.75" hidden="false" customHeight="tru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customFormat="false" ht="15.75" hidden="false" customHeight="tru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customFormat="false" ht="15.75" hidden="false" customHeight="tru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customFormat="false" ht="15.75" hidden="false" customHeight="tru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customFormat="false" ht="15.75" hidden="false" customHeight="tru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customFormat="false" ht="15.75" hidden="false" customHeight="tru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customFormat="false" ht="15.75" hidden="false" customHeight="tru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customFormat="false" ht="15.75" hidden="false" customHeight="tru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customFormat="false" ht="15.75" hidden="false" customHeight="tru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customFormat="false" ht="15.75" hidden="false" customHeight="tru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customFormat="false" ht="15.75" hidden="false" customHeight="tru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customFormat="false" ht="15.75" hidden="false" customHeight="tru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customFormat="false" ht="15.75" hidden="false" customHeight="tru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customFormat="false" ht="15.75" hidden="false" customHeight="tru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customFormat="false" ht="15.75" hidden="false" customHeight="tru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customFormat="false" ht="15.75" hidden="false" customHeight="tru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customFormat="false" ht="15.75" hidden="false" customHeight="tru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customFormat="false" ht="15.75" hidden="false" customHeight="tru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customFormat="false" ht="15.75" hidden="false" customHeight="tru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customFormat="false" ht="15.75" hidden="false" customHeight="tru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customFormat="false" ht="15.75" hidden="false" customHeight="tru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customFormat="false" ht="15.75" hidden="false" customHeight="tru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customFormat="false" ht="15.75" hidden="false" customHeight="tru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customFormat="false" ht="15.75" hidden="false" customHeight="tru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customFormat="false" ht="15.75" hidden="false" customHeight="tru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customFormat="false" ht="15.75" hidden="false" customHeight="tru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customFormat="false" ht="15.75" hidden="false" customHeight="tru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customFormat="false" ht="15.75" hidden="false" customHeight="tru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customFormat="false" ht="15.75" hidden="false" customHeight="tru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customFormat="false" ht="15.75" hidden="false" customHeight="tru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customFormat="false" ht="15.75" hidden="false" customHeight="tru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customFormat="false" ht="15.75" hidden="false" customHeight="tru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customFormat="false" ht="15.75" hidden="false" customHeight="tru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customFormat="false" ht="15.75" hidden="false" customHeight="tru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customFormat="false" ht="15.75" hidden="false" customHeight="tru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customFormat="false" ht="15.75" hidden="false" customHeight="tru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customFormat="false" ht="15.75" hidden="false" customHeight="tru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customFormat="false" ht="15.75" hidden="false" customHeight="tru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customFormat="false" ht="15.75" hidden="false" customHeight="tru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customFormat="false" ht="15.75" hidden="false" customHeight="tru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customFormat="false" ht="15.75" hidden="false" customHeight="tru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customFormat="false" ht="15.75" hidden="false" customHeight="tru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customFormat="false" ht="15.75" hidden="false" customHeight="tru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customFormat="false" ht="15.75" hidden="false" customHeight="tru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customFormat="false" ht="15.75" hidden="false" customHeight="tru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customFormat="false" ht="15.75" hidden="false" customHeight="tru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customFormat="false" ht="15.75" hidden="false" customHeight="tru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customFormat="false" ht="15.75" hidden="false" customHeight="tru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customFormat="false" ht="15.75" hidden="false" customHeight="true" outlineLevel="0" collapsed="false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61">
    <mergeCell ref="A3:B3"/>
    <mergeCell ref="C3:F3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21:E21"/>
    <mergeCell ref="F21:L21"/>
    <mergeCell ref="B22:E22"/>
    <mergeCell ref="F22:L22"/>
    <mergeCell ref="B23:E23"/>
    <mergeCell ref="F23:L23"/>
    <mergeCell ref="B24:E24"/>
    <mergeCell ref="F24:L24"/>
    <mergeCell ref="A27:D27"/>
    <mergeCell ref="E27:G27"/>
    <mergeCell ref="H27:I27"/>
    <mergeCell ref="A28:D28"/>
    <mergeCell ref="E28:G28"/>
    <mergeCell ref="H28:I28"/>
    <mergeCell ref="A29:D29"/>
    <mergeCell ref="E29:G29"/>
    <mergeCell ref="H29:I29"/>
    <mergeCell ref="A30:D30"/>
    <mergeCell ref="E30:G30"/>
    <mergeCell ref="H30:I30"/>
    <mergeCell ref="A31:D31"/>
    <mergeCell ref="E31:G31"/>
    <mergeCell ref="H31:I31"/>
    <mergeCell ref="A32:D32"/>
    <mergeCell ref="E32:G32"/>
    <mergeCell ref="H32:I32"/>
    <mergeCell ref="A49:B49"/>
    <mergeCell ref="A50:B50"/>
    <mergeCell ref="A51:B51"/>
    <mergeCell ref="A52:B52"/>
    <mergeCell ref="A53:B53"/>
    <mergeCell ref="A54:B54"/>
    <mergeCell ref="A55:B55"/>
  </mergeCells>
  <dataValidations count="3">
    <dataValidation allowBlank="true" errorStyle="stop" operator="between" prompt="Бал - Бал від 1 до 3" showDropDown="false" showErrorMessage="true" showInputMessage="true" sqref="I41:L46" type="decimal">
      <formula1>1</formula1>
      <formula2>3</formula2>
    </dataValidation>
    <dataValidation allowBlank="true" errorStyle="stop" operator="between" showDropDown="false" showErrorMessage="false" showInputMessage="false" sqref="P41:P46" type="list">
      <formula1>Довідники!$C$2:$C$3</formula1>
      <formula2>0</formula2>
    </dataValidation>
    <dataValidation allowBlank="true" errorStyle="stop" operator="between" showDropDown="false" showErrorMessage="false" showInputMessage="false" sqref="C41:C46" type="list">
      <formula1>Довідники!$A$2:$A$6</formula1>
      <formula2>0</formula2>
    </dataValidation>
  </dataValidations>
  <hyperlinks>
    <hyperlink ref="F21" r:id="rId1" display="https://cert.gov.ua/"/>
    <hyperlink ref="F22" r:id="rId2" display="https://www.bleepingcomputer.com/news/security/russian-sandworm-hackers-targeted-20-critical-orgs-in-ukraine/"/>
    <hyperlink ref="F23" r:id="rId3" display="https://industrialcyber.co/critical-infrastructure/ukrainian-cert-details-malicious-plan-by-sandworm-group-to-disrupt-critical-infrastructure-facilities/"/>
    <hyperlink ref="F24" r:id="rId4" display="https://www.tdworld.com/smart-utility/grid-security/news/55403973/cyberattack-on-german-public-utility-highlights-broader-resiliency-landscape-of-regional-power-infrastructure"/>
    <hyperlink ref="H30" r:id="rId5" display="https://www.bleepingcomputer.com/news/security/russian-sandworm-hackers-targeted-20-critical-orgs-in-ukraine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9"/>
    <col collapsed="false" customWidth="true" hidden="false" outlineLevel="0" max="26" min="17" style="0" width="8.71"/>
  </cols>
  <sheetData>
    <row r="1" customFormat="false" ht="16.15" hidden="false" customHeight="false" outlineLevel="0" collapsed="false">
      <c r="A1" s="11" t="s">
        <v>139</v>
      </c>
    </row>
    <row r="2" customFormat="false" ht="15" hidden="false" customHeight="false" outlineLevel="0" collapsed="false">
      <c r="A2" s="13" t="s">
        <v>140</v>
      </c>
    </row>
    <row r="3" customFormat="false" ht="15" hidden="false" customHeight="true" outlineLevel="0" collapsed="false">
      <c r="A3" s="14" t="s">
        <v>44</v>
      </c>
      <c r="B3" s="14"/>
      <c r="C3" s="15" t="s">
        <v>141</v>
      </c>
      <c r="D3" s="15"/>
      <c r="E3" s="15"/>
      <c r="F3" s="15"/>
    </row>
    <row r="5" customFormat="false" ht="15" hidden="false" customHeight="false" outlineLevel="0" collapsed="false">
      <c r="A5" s="16" t="s">
        <v>46</v>
      </c>
    </row>
    <row r="6" customFormat="false" ht="30" hidden="false" customHeight="true" outlineLevel="0" collapsed="false">
      <c r="B6" s="17" t="s">
        <v>47</v>
      </c>
      <c r="C6" s="17"/>
      <c r="D6" s="18" t="s">
        <v>142</v>
      </c>
      <c r="E6" s="18"/>
      <c r="F6" s="18"/>
      <c r="G6" s="18"/>
      <c r="H6" s="18"/>
    </row>
    <row r="7" customFormat="false" ht="30" hidden="false" customHeight="true" outlineLevel="0" collapsed="false">
      <c r="B7" s="17" t="s">
        <v>49</v>
      </c>
      <c r="C7" s="17"/>
      <c r="D7" s="18" t="s">
        <v>143</v>
      </c>
      <c r="E7" s="18"/>
      <c r="F7" s="18"/>
      <c r="G7" s="18"/>
      <c r="H7" s="18"/>
    </row>
    <row r="8" customFormat="false" ht="43.5" hidden="false" customHeight="true" outlineLevel="0" collapsed="false">
      <c r="B8" s="17" t="s">
        <v>51</v>
      </c>
      <c r="C8" s="17"/>
      <c r="D8" s="18" t="s">
        <v>144</v>
      </c>
      <c r="E8" s="18"/>
      <c r="F8" s="18"/>
      <c r="G8" s="18"/>
      <c r="H8" s="18"/>
    </row>
    <row r="9" customFormat="false" ht="30" hidden="false" customHeight="true" outlineLevel="0" collapsed="false">
      <c r="B9" s="17" t="s">
        <v>53</v>
      </c>
      <c r="C9" s="17"/>
      <c r="D9" s="18" t="s">
        <v>145</v>
      </c>
      <c r="E9" s="18"/>
      <c r="F9" s="18"/>
      <c r="G9" s="18"/>
      <c r="H9" s="18"/>
    </row>
    <row r="10" customFormat="false" ht="30" hidden="false" customHeight="true" outlineLevel="0" collapsed="false">
      <c r="B10" s="17" t="s">
        <v>55</v>
      </c>
      <c r="C10" s="17"/>
      <c r="D10" s="18" t="s">
        <v>146</v>
      </c>
      <c r="E10" s="18"/>
      <c r="F10" s="18"/>
      <c r="G10" s="18"/>
      <c r="H10" s="18"/>
    </row>
    <row r="11" customFormat="false" ht="30" hidden="false" customHeight="true" outlineLevel="0" collapsed="false">
      <c r="B11" s="17" t="s">
        <v>57</v>
      </c>
      <c r="C11" s="17"/>
      <c r="D11" s="18" t="s">
        <v>147</v>
      </c>
      <c r="E11" s="18"/>
      <c r="F11" s="18"/>
      <c r="G11" s="18"/>
      <c r="H11" s="18"/>
    </row>
    <row r="12" customFormat="false" ht="30" hidden="false" customHeight="true" outlineLevel="0" collapsed="false">
      <c r="B12" s="17" t="s">
        <v>59</v>
      </c>
      <c r="C12" s="17"/>
      <c r="D12" s="18" t="s">
        <v>148</v>
      </c>
      <c r="E12" s="18"/>
      <c r="F12" s="18"/>
      <c r="G12" s="18"/>
      <c r="H12" s="18"/>
    </row>
    <row r="13" customFormat="false" ht="30" hidden="false" customHeight="true" outlineLevel="0" collapsed="false">
      <c r="B13" s="17" t="s">
        <v>61</v>
      </c>
      <c r="C13" s="17"/>
      <c r="D13" s="18" t="s">
        <v>149</v>
      </c>
      <c r="E13" s="18"/>
      <c r="F13" s="18"/>
      <c r="G13" s="18"/>
      <c r="H13" s="18"/>
    </row>
    <row r="14" customFormat="false" ht="30" hidden="false" customHeight="true" outlineLevel="0" collapsed="false">
      <c r="B14" s="17" t="s">
        <v>63</v>
      </c>
      <c r="C14" s="17"/>
      <c r="D14" s="18" t="s">
        <v>150</v>
      </c>
      <c r="E14" s="18"/>
      <c r="F14" s="18"/>
      <c r="G14" s="18"/>
      <c r="H14" s="18"/>
    </row>
    <row r="15" customFormat="false" ht="43.5" hidden="false" customHeight="true" outlineLevel="0" collapsed="false">
      <c r="B15" s="17" t="s">
        <v>65</v>
      </c>
      <c r="C15" s="17"/>
      <c r="D15" s="18" t="s">
        <v>151</v>
      </c>
      <c r="E15" s="18"/>
      <c r="F15" s="18"/>
      <c r="G15" s="18"/>
      <c r="H15" s="18"/>
    </row>
    <row r="16" customFormat="false" ht="30" hidden="false" customHeight="true" outlineLevel="0" collapsed="false">
      <c r="B16" s="17" t="s">
        <v>67</v>
      </c>
      <c r="C16" s="17"/>
      <c r="D16" s="18" t="s">
        <v>152</v>
      </c>
      <c r="E16" s="18"/>
      <c r="F16" s="18"/>
      <c r="G16" s="18"/>
      <c r="H16" s="18"/>
    </row>
    <row r="17" customFormat="false" ht="30" hidden="false" customHeight="true" outlineLevel="0" collapsed="false">
      <c r="B17" s="17" t="s">
        <v>69</v>
      </c>
      <c r="C17" s="17"/>
      <c r="D17" s="18" t="s">
        <v>153</v>
      </c>
      <c r="E17" s="18"/>
      <c r="F17" s="18"/>
      <c r="G17" s="18"/>
      <c r="H17" s="18"/>
    </row>
    <row r="18" customFormat="false" ht="43.5" hidden="false" customHeight="true" outlineLevel="0" collapsed="false">
      <c r="B18" s="19" t="s">
        <v>71</v>
      </c>
      <c r="C18" s="19"/>
      <c r="D18" s="20" t="s">
        <v>154</v>
      </c>
      <c r="E18" s="20"/>
      <c r="F18" s="20"/>
      <c r="G18" s="20"/>
      <c r="H18" s="20"/>
    </row>
    <row r="20" customFormat="false" ht="15" hidden="false" customHeight="false" outlineLevel="0" collapsed="false">
      <c r="A20" s="16" t="s">
        <v>73</v>
      </c>
    </row>
    <row r="21" customFormat="false" ht="15" hidden="false" customHeight="true" outlineLevel="0" collapsed="false">
      <c r="B21" s="14" t="s">
        <v>74</v>
      </c>
      <c r="C21" s="14"/>
      <c r="D21" s="14"/>
      <c r="E21" s="14"/>
      <c r="F21" s="21" t="s">
        <v>75</v>
      </c>
      <c r="G21" s="21"/>
      <c r="H21" s="21"/>
      <c r="I21" s="21"/>
      <c r="J21" s="21"/>
      <c r="K21" s="21"/>
      <c r="L21" s="21"/>
    </row>
    <row r="22" customFormat="false" ht="15" hidden="false" customHeight="true" outlineLevel="0" collapsed="false">
      <c r="B22" s="14" t="s">
        <v>155</v>
      </c>
      <c r="C22" s="14"/>
      <c r="D22" s="14"/>
      <c r="E22" s="14"/>
      <c r="F22" s="21" t="s">
        <v>156</v>
      </c>
      <c r="G22" s="21"/>
      <c r="H22" s="21"/>
      <c r="I22" s="21"/>
      <c r="J22" s="21"/>
      <c r="K22" s="21"/>
      <c r="L22" s="21"/>
    </row>
    <row r="23" customFormat="false" ht="23.25" hidden="false" customHeight="true" outlineLevel="0" collapsed="false">
      <c r="B23" s="14" t="s">
        <v>157</v>
      </c>
      <c r="C23" s="14"/>
      <c r="D23" s="14"/>
      <c r="E23" s="14"/>
      <c r="F23" s="21" t="s">
        <v>158</v>
      </c>
      <c r="G23" s="21"/>
      <c r="H23" s="21"/>
      <c r="I23" s="21"/>
      <c r="J23" s="21"/>
      <c r="K23" s="21"/>
      <c r="L23" s="21"/>
    </row>
    <row r="24" customFormat="false" ht="15" hidden="false" customHeight="true" outlineLevel="0" collapsed="false">
      <c r="B24" s="14" t="s">
        <v>159</v>
      </c>
      <c r="C24" s="14"/>
      <c r="D24" s="14"/>
      <c r="E24" s="14"/>
      <c r="F24" s="21" t="s">
        <v>160</v>
      </c>
      <c r="G24" s="21"/>
      <c r="H24" s="21"/>
      <c r="I24" s="21"/>
      <c r="J24" s="21"/>
      <c r="K24" s="21"/>
      <c r="L24" s="21"/>
    </row>
    <row r="25" customFormat="false" ht="15.75" hidden="false" customHeight="true" outlineLevel="0" collapsed="false"/>
    <row r="26" customFormat="false" ht="15.75" hidden="false" customHeight="true" outlineLevel="0" collapsed="false">
      <c r="A26" s="16" t="s">
        <v>82</v>
      </c>
    </row>
    <row r="27" customFormat="false" ht="15" hidden="false" customHeight="true" outlineLevel="0" collapsed="false">
      <c r="A27" s="22" t="s">
        <v>83</v>
      </c>
      <c r="B27" s="22"/>
      <c r="C27" s="22"/>
      <c r="D27" s="22"/>
      <c r="E27" s="22" t="s">
        <v>84</v>
      </c>
      <c r="F27" s="22"/>
      <c r="G27" s="22"/>
      <c r="H27" s="22" t="s">
        <v>85</v>
      </c>
      <c r="I27" s="22"/>
    </row>
    <row r="28" customFormat="false" ht="33.75" hidden="false" customHeight="true" outlineLevel="0" collapsed="false">
      <c r="A28" s="23" t="s">
        <v>86</v>
      </c>
      <c r="B28" s="23"/>
      <c r="C28" s="23"/>
      <c r="D28" s="23"/>
      <c r="E28" s="15" t="s">
        <v>161</v>
      </c>
      <c r="F28" s="15"/>
      <c r="G28" s="15"/>
      <c r="H28" s="15"/>
      <c r="I28" s="15"/>
    </row>
    <row r="29" customFormat="false" ht="33.75" hidden="false" customHeight="true" outlineLevel="0" collapsed="false">
      <c r="A29" s="23" t="s">
        <v>89</v>
      </c>
      <c r="B29" s="23"/>
      <c r="C29" s="23"/>
      <c r="D29" s="23"/>
      <c r="E29" s="15" t="s">
        <v>162</v>
      </c>
      <c r="F29" s="15"/>
      <c r="G29" s="15"/>
      <c r="H29" s="15"/>
      <c r="I29" s="15"/>
    </row>
    <row r="30" customFormat="false" ht="33.75" hidden="false" customHeight="true" outlineLevel="0" collapsed="false">
      <c r="A30" s="23" t="s">
        <v>91</v>
      </c>
      <c r="B30" s="23"/>
      <c r="C30" s="23"/>
      <c r="D30" s="23"/>
      <c r="E30" s="15" t="s">
        <v>163</v>
      </c>
      <c r="F30" s="15"/>
      <c r="G30" s="15"/>
      <c r="H30" s="15"/>
      <c r="I30" s="15"/>
    </row>
    <row r="31" customFormat="false" ht="33.75" hidden="false" customHeight="true" outlineLevel="0" collapsed="false">
      <c r="A31" s="23" t="s">
        <v>93</v>
      </c>
      <c r="B31" s="23"/>
      <c r="C31" s="23"/>
      <c r="D31" s="23"/>
      <c r="E31" s="15" t="s">
        <v>164</v>
      </c>
      <c r="F31" s="15"/>
      <c r="G31" s="15"/>
      <c r="H31" s="32" t="s">
        <v>165</v>
      </c>
      <c r="I31" s="32"/>
    </row>
    <row r="32" customFormat="false" ht="33.75" hidden="false" customHeight="true" outlineLevel="0" collapsed="false">
      <c r="A32" s="23" t="s">
        <v>95</v>
      </c>
      <c r="B32" s="23"/>
      <c r="C32" s="23"/>
      <c r="D32" s="23"/>
      <c r="E32" s="15" t="s">
        <v>166</v>
      </c>
      <c r="F32" s="15"/>
      <c r="G32" s="15"/>
      <c r="H32" s="15"/>
      <c r="I32" s="15"/>
    </row>
    <row r="33" customFormat="false" ht="15.75" hidden="false" customHeight="true" outlineLevel="0" collapsed="false"/>
    <row r="34" customFormat="false" ht="15.75" hidden="false" customHeight="true" outlineLevel="0" collapsed="false">
      <c r="A34" s="16" t="s">
        <v>97</v>
      </c>
    </row>
    <row r="35" customFormat="false" ht="42" hidden="false" customHeight="true" outlineLevel="0" collapsed="false">
      <c r="A35" s="26" t="s">
        <v>98</v>
      </c>
      <c r="B35" s="26" t="s">
        <v>99</v>
      </c>
      <c r="C35" s="26" t="s">
        <v>100</v>
      </c>
      <c r="D35" s="26" t="s">
        <v>101</v>
      </c>
      <c r="E35" s="26" t="s">
        <v>102</v>
      </c>
      <c r="F35" s="26" t="s">
        <v>103</v>
      </c>
      <c r="G35" s="26" t="s">
        <v>104</v>
      </c>
      <c r="H35" s="26" t="s">
        <v>105</v>
      </c>
      <c r="I35" s="26" t="s">
        <v>106</v>
      </c>
      <c r="J35" s="26" t="s">
        <v>25</v>
      </c>
      <c r="K35" s="26" t="s">
        <v>107</v>
      </c>
      <c r="L35" s="26" t="s">
        <v>108</v>
      </c>
      <c r="M35" s="26" t="s">
        <v>109</v>
      </c>
      <c r="N35" s="26" t="s">
        <v>110</v>
      </c>
      <c r="O35" s="26" t="s">
        <v>111</v>
      </c>
      <c r="P35" s="26" t="s">
        <v>112</v>
      </c>
    </row>
    <row r="36" customFormat="false" ht="73.5" hidden="false" customHeight="true" outlineLevel="0" collapsed="false">
      <c r="A36" s="27" t="s">
        <v>113</v>
      </c>
      <c r="B36" s="28" t="s">
        <v>114</v>
      </c>
      <c r="C36" s="28" t="s">
        <v>115</v>
      </c>
      <c r="D36" s="28" t="s">
        <v>116</v>
      </c>
      <c r="E36" s="28" t="s">
        <v>167</v>
      </c>
      <c r="F36" s="28" t="s">
        <v>168</v>
      </c>
      <c r="G36" s="28" t="s">
        <v>169</v>
      </c>
      <c r="H36" s="28"/>
      <c r="I36" s="27" t="n">
        <v>2</v>
      </c>
      <c r="J36" s="27" t="n">
        <v>3</v>
      </c>
      <c r="K36" s="27" t="n">
        <v>3</v>
      </c>
      <c r="L36" s="27" t="n">
        <v>3</v>
      </c>
      <c r="M36" s="29" t="n">
        <f aca="false">SUM(I36:L36)</f>
        <v>11</v>
      </c>
      <c r="N36" s="28"/>
      <c r="O36" s="28" t="s">
        <v>170</v>
      </c>
      <c r="P36" s="27" t="s">
        <v>121</v>
      </c>
    </row>
    <row r="37" customFormat="false" ht="73.5" hidden="false" customHeight="true" outlineLevel="0" collapsed="false">
      <c r="A37" s="27" t="s">
        <v>122</v>
      </c>
      <c r="B37" s="28" t="s">
        <v>114</v>
      </c>
      <c r="C37" s="28" t="s">
        <v>171</v>
      </c>
      <c r="D37" s="28" t="s">
        <v>116</v>
      </c>
      <c r="E37" s="28" t="s">
        <v>172</v>
      </c>
      <c r="F37" s="28" t="s">
        <v>173</v>
      </c>
      <c r="G37" s="28" t="s">
        <v>174</v>
      </c>
      <c r="H37" s="28"/>
      <c r="I37" s="27" t="n">
        <v>2</v>
      </c>
      <c r="J37" s="27" t="n">
        <v>2</v>
      </c>
      <c r="K37" s="27" t="n">
        <v>3</v>
      </c>
      <c r="L37" s="27" t="n">
        <v>2</v>
      </c>
      <c r="M37" s="29" t="n">
        <f aca="false">SUM(I37:L37)</f>
        <v>9</v>
      </c>
      <c r="N37" s="28"/>
      <c r="O37" s="28" t="s">
        <v>175</v>
      </c>
      <c r="P37" s="27" t="s">
        <v>121</v>
      </c>
    </row>
    <row r="38" customFormat="false" ht="15.75" hidden="false" customHeight="true" outlineLevel="0" collapsed="false"/>
    <row r="39" customFormat="false" ht="15.75" hidden="false" customHeight="true" outlineLevel="0" collapsed="false">
      <c r="A39" s="16" t="s">
        <v>130</v>
      </c>
    </row>
    <row r="40" customFormat="false" ht="42" hidden="false" customHeight="true" outlineLevel="0" collapsed="false">
      <c r="A40" s="26" t="s">
        <v>98</v>
      </c>
      <c r="B40" s="26" t="s">
        <v>99</v>
      </c>
      <c r="C40" s="26" t="s">
        <v>100</v>
      </c>
      <c r="D40" s="26" t="s">
        <v>101</v>
      </c>
      <c r="E40" s="26" t="s">
        <v>102</v>
      </c>
      <c r="F40" s="26" t="s">
        <v>103</v>
      </c>
      <c r="G40" s="26" t="s">
        <v>104</v>
      </c>
      <c r="H40" s="26" t="s">
        <v>105</v>
      </c>
      <c r="I40" s="26" t="s">
        <v>106</v>
      </c>
      <c r="J40" s="26" t="s">
        <v>25</v>
      </c>
      <c r="K40" s="26" t="s">
        <v>107</v>
      </c>
      <c r="L40" s="26" t="s">
        <v>108</v>
      </c>
      <c r="M40" s="26" t="s">
        <v>109</v>
      </c>
      <c r="N40" s="26" t="s">
        <v>110</v>
      </c>
      <c r="O40" s="26" t="s">
        <v>111</v>
      </c>
      <c r="P40" s="26" t="s">
        <v>112</v>
      </c>
    </row>
    <row r="41" customFormat="false" ht="61.5" hidden="false" customHeight="true" outlineLevel="0" collapsed="false">
      <c r="A41" s="30" t="n">
        <v>1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3" t="str">
        <f aca="false">IF(COUNT(I41:L41)=4,SUM(I41:L41),"")</f>
        <v/>
      </c>
      <c r="N41" s="23" t="str">
        <f aca="false">IF(ISNUMBER(M41),RANK(M41,$M$41:$M$46)+COUNTIF($M$41:M41,M41)-1,"")</f>
        <v/>
      </c>
      <c r="O41" s="15"/>
      <c r="P41" s="15"/>
    </row>
    <row r="42" customFormat="false" ht="61.5" hidden="false" customHeight="true" outlineLevel="0" collapsed="false">
      <c r="A42" s="30" t="n">
        <v>2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3" t="str">
        <f aca="false">IF(COUNT(I42:L42)=4,SUM(I42:L42),"")</f>
        <v/>
      </c>
      <c r="N42" s="23" t="str">
        <f aca="false">IF(ISNUMBER(M42),RANK(M42,$M$41:$M$46)+COUNTIF($M$41:M42,M42)-1,"")</f>
        <v/>
      </c>
      <c r="O42" s="15"/>
      <c r="P42" s="15"/>
    </row>
    <row r="43" customFormat="false" ht="61.5" hidden="false" customHeight="true" outlineLevel="0" collapsed="false">
      <c r="A43" s="30" t="n">
        <v>3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3" t="str">
        <f aca="false">IF(COUNT(I43:L43)=4,SUM(I43:L43),"")</f>
        <v/>
      </c>
      <c r="N43" s="23" t="str">
        <f aca="false">IF(ISNUMBER(M43),RANK(M43,$M$41:$M$46)+COUNTIF($M$41:M43,M43)-1,"")</f>
        <v/>
      </c>
      <c r="O43" s="15"/>
      <c r="P43" s="15"/>
    </row>
    <row r="44" customFormat="false" ht="61.5" hidden="false" customHeight="true" outlineLevel="0" collapsed="false">
      <c r="A44" s="30" t="n">
        <v>4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3" t="str">
        <f aca="false">IF(COUNT(I44:L44)=4,SUM(I44:L44),"")</f>
        <v/>
      </c>
      <c r="N44" s="23" t="str">
        <f aca="false">IF(ISNUMBER(M44),RANK(M44,$M$41:$M$46)+COUNTIF($M$41:M44,M44)-1,"")</f>
        <v/>
      </c>
      <c r="O44" s="15"/>
      <c r="P44" s="15"/>
    </row>
    <row r="45" customFormat="false" ht="61.5" hidden="false" customHeight="true" outlineLevel="0" collapsed="false">
      <c r="A45" s="30" t="n">
        <v>5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3" t="str">
        <f aca="false">IF(COUNT(I45:L45)=4,SUM(I45:L45),"")</f>
        <v/>
      </c>
      <c r="N45" s="23" t="str">
        <f aca="false">IF(ISNUMBER(M45),RANK(M45,$M$41:$M$46)+COUNTIF($M$41:M45,M45)-1,"")</f>
        <v/>
      </c>
      <c r="O45" s="15"/>
      <c r="P45" s="15"/>
    </row>
    <row r="46" customFormat="false" ht="61.5" hidden="false" customHeight="true" outlineLevel="0" collapsed="false">
      <c r="A46" s="30" t="n">
        <v>6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23" t="str">
        <f aca="false">IF(COUNT(I46:L46)=4,SUM(I46:L46),"")</f>
        <v/>
      </c>
      <c r="N46" s="23" t="str">
        <f aca="false">IF(ISNUMBER(M46),RANK(M46,$M$41:$M$46)+COUNTIF($M$41:M46,M46)-1,"")</f>
        <v/>
      </c>
      <c r="O46" s="15"/>
      <c r="P46" s="15"/>
    </row>
    <row r="47" customFormat="false" ht="15.75" hidden="false" customHeight="true" outlineLevel="0" collapsed="false"/>
    <row r="48" customFormat="false" ht="15.75" hidden="false" customHeight="true" outlineLevel="0" collapsed="false">
      <c r="A48" s="16" t="s">
        <v>131</v>
      </c>
    </row>
    <row r="49" customFormat="false" ht="15" hidden="false" customHeight="true" outlineLevel="0" collapsed="false">
      <c r="A49" s="18" t="s">
        <v>132</v>
      </c>
      <c r="B49" s="18"/>
      <c r="C49" s="30" t="n">
        <f aca="false">COUNTA(E41:E46)</f>
        <v>0</v>
      </c>
      <c r="D49" s="31" t="str">
        <f aca="false">IF(C49&gt;=6,"✓","✗")</f>
        <v>✗</v>
      </c>
    </row>
    <row r="50" customFormat="false" ht="34.5" hidden="false" customHeight="true" outlineLevel="0" collapsed="false">
      <c r="A50" s="18" t="s">
        <v>133</v>
      </c>
      <c r="B50" s="18"/>
      <c r="C50" s="30" t="n">
        <f aca="false" t="array" ref="C50:C50">SUMPRODUCT((B41:B46&lt;&gt;"")*(COUNTIF(B41:B46,B41:B46)&lt;&gt;3)/COUNTIF(B41:B46,B41:B46&amp;""))</f>
        <v>0</v>
      </c>
      <c r="D50" s="31" t="str">
        <f aca="false">IF(AND(C50=0,COUNTA(B41:B46)=6),"✓","✗")</f>
        <v>✗</v>
      </c>
    </row>
    <row r="51" customFormat="false" ht="23.25" hidden="false" customHeight="true" outlineLevel="0" collapsed="false">
      <c r="A51" s="18" t="s">
        <v>134</v>
      </c>
      <c r="B51" s="18"/>
      <c r="C51" s="30" t="n">
        <f aca="false" t="array" ref="C51:C51">SUMPRODUCT(--(COUNTIF(C41:C46,Довідники!$A$2:$A$6)&gt;0))</f>
        <v>0</v>
      </c>
      <c r="D51" s="31" t="str">
        <f aca="false">IF(C51&gt;=3,"✓","✗")</f>
        <v>✗</v>
      </c>
    </row>
    <row r="52" customFormat="false" ht="23.25" hidden="false" customHeight="true" outlineLevel="0" collapsed="false">
      <c r="A52" s="18" t="s">
        <v>135</v>
      </c>
      <c r="B52" s="18"/>
      <c r="C52" s="30" t="n">
        <f aca="false">COUNTIF(P41:P46,"так")</f>
        <v>0</v>
      </c>
      <c r="D52" s="31" t="str">
        <f aca="false">IF(C52&gt;=1,"✓","✗")</f>
        <v>✗</v>
      </c>
    </row>
    <row r="53" customFormat="false" ht="23.25" hidden="false" customHeight="true" outlineLevel="0" collapsed="false">
      <c r="A53" s="18" t="s">
        <v>136</v>
      </c>
      <c r="B53" s="18"/>
      <c r="C53" s="30" t="n">
        <f aca="false">SUMPRODUCT((E41:E46&lt;&gt;"")*(((F41:F46="")+(G41:G46=""))&gt;0))</f>
        <v>0</v>
      </c>
      <c r="D53" s="31" t="str">
        <f aca="false">IF(C53=0,"✓","✗")</f>
        <v>✓</v>
      </c>
    </row>
    <row r="54" customFormat="false" ht="23.25" hidden="false" customHeight="true" outlineLevel="0" collapsed="false">
      <c r="A54" s="18" t="s">
        <v>137</v>
      </c>
      <c r="B54" s="18"/>
      <c r="C54" s="30" t="n">
        <f aca="false">SUMPRODUCT((E41:E46&lt;&gt;"")*(((I41:I46="")+(J41:J46="")+(K41:K46="")+(L41:L46=""))&gt;0))</f>
        <v>0</v>
      </c>
      <c r="D54" s="31" t="str">
        <f aca="false">IF(C54=0,"✓","✗")</f>
        <v>✓</v>
      </c>
    </row>
    <row r="55" customFormat="false" ht="34.5" hidden="false" customHeight="true" outlineLevel="0" collapsed="false">
      <c r="A55" s="18" t="s">
        <v>138</v>
      </c>
      <c r="B55" s="18"/>
      <c r="C55" s="30" t="n">
        <f aca="false">SUMPRODUCT(ISNUMBER(N41:N46)*(N41:N46=1)*(O41:O46=""))</f>
        <v>0</v>
      </c>
      <c r="D55" s="31" t="str">
        <f aca="false">IF(C55=0,"✓","✗")</f>
        <v>✓</v>
      </c>
    </row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61">
    <mergeCell ref="A3:B3"/>
    <mergeCell ref="C3:F3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21:E21"/>
    <mergeCell ref="F21:L21"/>
    <mergeCell ref="B22:E22"/>
    <mergeCell ref="F22:L22"/>
    <mergeCell ref="B23:E23"/>
    <mergeCell ref="F23:L23"/>
    <mergeCell ref="B24:E24"/>
    <mergeCell ref="F24:L24"/>
    <mergeCell ref="A27:D27"/>
    <mergeCell ref="E27:G27"/>
    <mergeCell ref="H27:I27"/>
    <mergeCell ref="A28:D28"/>
    <mergeCell ref="E28:G28"/>
    <mergeCell ref="H28:I28"/>
    <mergeCell ref="A29:D29"/>
    <mergeCell ref="E29:G29"/>
    <mergeCell ref="H29:I29"/>
    <mergeCell ref="A30:D30"/>
    <mergeCell ref="E30:G30"/>
    <mergeCell ref="H30:I30"/>
    <mergeCell ref="A31:D31"/>
    <mergeCell ref="E31:G31"/>
    <mergeCell ref="H31:I31"/>
    <mergeCell ref="A32:D32"/>
    <mergeCell ref="E32:G32"/>
    <mergeCell ref="H32:I32"/>
    <mergeCell ref="A49:B49"/>
    <mergeCell ref="A50:B50"/>
    <mergeCell ref="A51:B51"/>
    <mergeCell ref="A52:B52"/>
    <mergeCell ref="A53:B53"/>
    <mergeCell ref="A54:B54"/>
    <mergeCell ref="A55:B55"/>
  </mergeCells>
  <dataValidations count="3">
    <dataValidation allowBlank="true" errorStyle="stop" operator="between" showDropDown="false" showErrorMessage="false" showInputMessage="false" sqref="P41:P46" type="list">
      <formula1>Довідники!$C$2:$C$3</formula1>
      <formula2>0</formula2>
    </dataValidation>
    <dataValidation allowBlank="true" errorStyle="stop" operator="between" prompt="Бал - Бал від 1 до 3" showDropDown="false" showErrorMessage="true" showInputMessage="true" sqref="I41:L46" type="decimal">
      <formula1>1</formula1>
      <formula2>3</formula2>
    </dataValidation>
    <dataValidation allowBlank="true" errorStyle="stop" operator="between" showDropDown="false" showErrorMessage="false" showInputMessage="false" sqref="C41:C46" type="list">
      <formula1>Довідники!$A$2:$A$6</formula1>
      <formula2>0</formula2>
    </dataValidation>
  </dataValidations>
  <hyperlinks>
    <hyperlink ref="F21" r:id="rId1" display="https://cert.gov.ua/"/>
    <hyperlink ref="F22" r:id="rId2" display="https://cloud.google.com/blog/topics/threat-intelligence/unc5537-snowflake-data-theft-extortion"/>
    <hyperlink ref="F23" r:id="rId3" display="https://www.scworld.com/brief/ticketmaster-breach-detailed-by-shinyhunters-hacker"/>
    <hyperlink ref="F24" r:id="rId4" display="https://www.microsoft.com/en-us/security/blog/2025/06/30/jasper-sleet-north-korean-remote-it-workers-evolving-tactics-to-infiltrate-organizations/"/>
    <hyperlink ref="H31" r:id="rId5" display="https://cert.gov.ua/article/6318863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9"/>
    <col collapsed="false" customWidth="true" hidden="false" outlineLevel="0" max="26" min="17" style="0" width="8.71"/>
  </cols>
  <sheetData>
    <row r="1" customFormat="false" ht="16.15" hidden="false" customHeight="false" outlineLevel="0" collapsed="false">
      <c r="A1" s="11" t="s">
        <v>176</v>
      </c>
    </row>
    <row r="2" customFormat="false" ht="15" hidden="false" customHeight="false" outlineLevel="0" collapsed="false">
      <c r="A2" s="13" t="s">
        <v>177</v>
      </c>
    </row>
    <row r="3" customFormat="false" ht="15" hidden="false" customHeight="true" outlineLevel="0" collapsed="false">
      <c r="A3" s="14" t="s">
        <v>44</v>
      </c>
      <c r="B3" s="14"/>
      <c r="C3" s="15"/>
      <c r="D3" s="15"/>
      <c r="E3" s="15"/>
      <c r="F3" s="15"/>
    </row>
    <row r="5" customFormat="false" ht="15" hidden="false" customHeight="false" outlineLevel="0" collapsed="false">
      <c r="A5" s="16" t="s">
        <v>46</v>
      </c>
    </row>
    <row r="6" customFormat="false" ht="30" hidden="false" customHeight="true" outlineLevel="0" collapsed="false">
      <c r="B6" s="17" t="s">
        <v>47</v>
      </c>
      <c r="C6" s="17"/>
      <c r="D6" s="18" t="s">
        <v>178</v>
      </c>
      <c r="E6" s="18"/>
      <c r="F6" s="18"/>
      <c r="G6" s="18"/>
      <c r="H6" s="18"/>
    </row>
    <row r="7" customFormat="false" ht="43.5" hidden="false" customHeight="true" outlineLevel="0" collapsed="false">
      <c r="B7" s="17" t="s">
        <v>49</v>
      </c>
      <c r="C7" s="17"/>
      <c r="D7" s="18" t="s">
        <v>179</v>
      </c>
      <c r="E7" s="18"/>
      <c r="F7" s="18"/>
      <c r="G7" s="18"/>
      <c r="H7" s="18"/>
    </row>
    <row r="8" customFormat="false" ht="43.5" hidden="false" customHeight="true" outlineLevel="0" collapsed="false">
      <c r="B8" s="17" t="s">
        <v>51</v>
      </c>
      <c r="C8" s="17"/>
      <c r="D8" s="18" t="s">
        <v>180</v>
      </c>
      <c r="E8" s="18"/>
      <c r="F8" s="18"/>
      <c r="G8" s="18"/>
      <c r="H8" s="18"/>
    </row>
    <row r="9" customFormat="false" ht="43.5" hidden="false" customHeight="true" outlineLevel="0" collapsed="false">
      <c r="B9" s="17" t="s">
        <v>53</v>
      </c>
      <c r="C9" s="17"/>
      <c r="D9" s="18" t="s">
        <v>181</v>
      </c>
      <c r="E9" s="18"/>
      <c r="F9" s="18"/>
      <c r="G9" s="18"/>
      <c r="H9" s="18"/>
    </row>
    <row r="10" customFormat="false" ht="30" hidden="false" customHeight="true" outlineLevel="0" collapsed="false">
      <c r="B10" s="17" t="s">
        <v>55</v>
      </c>
      <c r="C10" s="17"/>
      <c r="D10" s="18" t="s">
        <v>182</v>
      </c>
      <c r="E10" s="18"/>
      <c r="F10" s="18"/>
      <c r="G10" s="18"/>
      <c r="H10" s="18"/>
    </row>
    <row r="11" customFormat="false" ht="43.5" hidden="false" customHeight="true" outlineLevel="0" collapsed="false">
      <c r="B11" s="17" t="s">
        <v>57</v>
      </c>
      <c r="C11" s="17"/>
      <c r="D11" s="18" t="s">
        <v>183</v>
      </c>
      <c r="E11" s="18"/>
      <c r="F11" s="18"/>
      <c r="G11" s="18"/>
      <c r="H11" s="18"/>
    </row>
    <row r="12" customFormat="false" ht="30" hidden="false" customHeight="true" outlineLevel="0" collapsed="false">
      <c r="B12" s="17" t="s">
        <v>59</v>
      </c>
      <c r="C12" s="17"/>
      <c r="D12" s="18" t="s">
        <v>184</v>
      </c>
      <c r="E12" s="18"/>
      <c r="F12" s="18"/>
      <c r="G12" s="18"/>
      <c r="H12" s="18"/>
    </row>
    <row r="13" customFormat="false" ht="30" hidden="false" customHeight="true" outlineLevel="0" collapsed="false">
      <c r="B13" s="17" t="s">
        <v>61</v>
      </c>
      <c r="C13" s="17"/>
      <c r="D13" s="18" t="s">
        <v>185</v>
      </c>
      <c r="E13" s="18"/>
      <c r="F13" s="18"/>
      <c r="G13" s="18"/>
      <c r="H13" s="18"/>
    </row>
    <row r="14" customFormat="false" ht="30" hidden="false" customHeight="true" outlineLevel="0" collapsed="false">
      <c r="B14" s="17" t="s">
        <v>63</v>
      </c>
      <c r="C14" s="17"/>
      <c r="D14" s="18" t="s">
        <v>186</v>
      </c>
      <c r="E14" s="18"/>
      <c r="F14" s="18"/>
      <c r="G14" s="18"/>
      <c r="H14" s="18"/>
    </row>
    <row r="15" customFormat="false" ht="43.5" hidden="false" customHeight="true" outlineLevel="0" collapsed="false">
      <c r="B15" s="17" t="s">
        <v>65</v>
      </c>
      <c r="C15" s="17"/>
      <c r="D15" s="18" t="s">
        <v>187</v>
      </c>
      <c r="E15" s="18"/>
      <c r="F15" s="18"/>
      <c r="G15" s="18"/>
      <c r="H15" s="18"/>
    </row>
    <row r="16" customFormat="false" ht="30" hidden="false" customHeight="true" outlineLevel="0" collapsed="false">
      <c r="B16" s="17" t="s">
        <v>67</v>
      </c>
      <c r="C16" s="17"/>
      <c r="D16" s="18" t="s">
        <v>188</v>
      </c>
      <c r="E16" s="18"/>
      <c r="F16" s="18"/>
      <c r="G16" s="18"/>
      <c r="H16" s="18"/>
    </row>
    <row r="17" customFormat="false" ht="30" hidden="false" customHeight="true" outlineLevel="0" collapsed="false">
      <c r="B17" s="17" t="s">
        <v>69</v>
      </c>
      <c r="C17" s="17"/>
      <c r="D17" s="18" t="s">
        <v>189</v>
      </c>
      <c r="E17" s="18"/>
      <c r="F17" s="18"/>
      <c r="G17" s="18"/>
      <c r="H17" s="18"/>
    </row>
    <row r="18" customFormat="false" ht="30" hidden="false" customHeight="true" outlineLevel="0" collapsed="false">
      <c r="B18" s="19" t="s">
        <v>71</v>
      </c>
      <c r="C18" s="19"/>
      <c r="D18" s="20" t="s">
        <v>190</v>
      </c>
      <c r="E18" s="20"/>
      <c r="F18" s="20"/>
      <c r="G18" s="20"/>
      <c r="H18" s="20"/>
    </row>
    <row r="20" customFormat="false" ht="15" hidden="false" customHeight="false" outlineLevel="0" collapsed="false">
      <c r="A20" s="16" t="s">
        <v>73</v>
      </c>
    </row>
    <row r="21" customFormat="false" ht="15" hidden="false" customHeight="true" outlineLevel="0" collapsed="false">
      <c r="B21" s="14" t="s">
        <v>74</v>
      </c>
      <c r="C21" s="14"/>
      <c r="D21" s="14"/>
      <c r="E21" s="14"/>
      <c r="F21" s="21" t="s">
        <v>75</v>
      </c>
      <c r="G21" s="21"/>
      <c r="H21" s="21"/>
      <c r="I21" s="21"/>
      <c r="J21" s="21"/>
      <c r="K21" s="21"/>
      <c r="L21" s="21"/>
    </row>
    <row r="22" customFormat="false" ht="15" hidden="false" customHeight="true" outlineLevel="0" collapsed="false">
      <c r="B22" s="14" t="s">
        <v>191</v>
      </c>
      <c r="C22" s="14"/>
      <c r="D22" s="14"/>
      <c r="E22" s="14"/>
      <c r="F22" s="21" t="s">
        <v>192</v>
      </c>
      <c r="G22" s="21"/>
      <c r="H22" s="21"/>
      <c r="I22" s="21"/>
      <c r="J22" s="21"/>
      <c r="K22" s="21"/>
      <c r="L22" s="21"/>
    </row>
    <row r="23" customFormat="false" ht="15" hidden="false" customHeight="true" outlineLevel="0" collapsed="false">
      <c r="B23" s="14" t="s">
        <v>78</v>
      </c>
      <c r="C23" s="14"/>
      <c r="D23" s="14"/>
      <c r="E23" s="14"/>
      <c r="F23" s="21" t="s">
        <v>79</v>
      </c>
      <c r="G23" s="21"/>
      <c r="H23" s="21"/>
      <c r="I23" s="21"/>
      <c r="J23" s="21"/>
      <c r="K23" s="21"/>
      <c r="L23" s="21"/>
    </row>
    <row r="24" customFormat="false" ht="15.75" hidden="false" customHeight="true" outlineLevel="0" collapsed="false"/>
    <row r="25" customFormat="false" ht="15.75" hidden="false" customHeight="true" outlineLevel="0" collapsed="false">
      <c r="A25" s="16" t="s">
        <v>82</v>
      </c>
    </row>
    <row r="26" customFormat="false" ht="15" hidden="false" customHeight="true" outlineLevel="0" collapsed="false">
      <c r="A26" s="22" t="s">
        <v>83</v>
      </c>
      <c r="B26" s="22"/>
      <c r="C26" s="22"/>
      <c r="D26" s="22"/>
      <c r="E26" s="22" t="s">
        <v>84</v>
      </c>
      <c r="F26" s="22"/>
      <c r="G26" s="22"/>
      <c r="H26" s="22" t="s">
        <v>85</v>
      </c>
      <c r="I26" s="22"/>
    </row>
    <row r="27" customFormat="false" ht="33.75" hidden="false" customHeight="true" outlineLevel="0" collapsed="false">
      <c r="A27" s="23" t="s">
        <v>86</v>
      </c>
      <c r="B27" s="23"/>
      <c r="C27" s="23"/>
      <c r="D27" s="23"/>
      <c r="E27" s="15" t="s">
        <v>193</v>
      </c>
      <c r="F27" s="15"/>
      <c r="G27" s="15"/>
      <c r="H27" s="15" t="s">
        <v>194</v>
      </c>
      <c r="I27" s="15"/>
    </row>
    <row r="28" customFormat="false" ht="33.75" hidden="false" customHeight="true" outlineLevel="0" collapsed="false">
      <c r="A28" s="23" t="s">
        <v>89</v>
      </c>
      <c r="B28" s="23"/>
      <c r="C28" s="23"/>
      <c r="D28" s="23"/>
      <c r="E28" s="15" t="s">
        <v>195</v>
      </c>
      <c r="F28" s="15"/>
      <c r="G28" s="15"/>
      <c r="H28" s="15" t="s">
        <v>194</v>
      </c>
      <c r="I28" s="15"/>
    </row>
    <row r="29" customFormat="false" ht="33.75" hidden="false" customHeight="true" outlineLevel="0" collapsed="false">
      <c r="A29" s="23" t="s">
        <v>91</v>
      </c>
      <c r="B29" s="23"/>
      <c r="C29" s="23"/>
      <c r="D29" s="23"/>
      <c r="E29" s="15" t="s">
        <v>196</v>
      </c>
      <c r="F29" s="15"/>
      <c r="G29" s="15"/>
      <c r="H29" s="15" t="s">
        <v>197</v>
      </c>
      <c r="I29" s="15"/>
    </row>
    <row r="30" customFormat="false" ht="33.75" hidden="false" customHeight="true" outlineLevel="0" collapsed="false">
      <c r="A30" s="23" t="s">
        <v>93</v>
      </c>
      <c r="B30" s="23"/>
      <c r="C30" s="23"/>
      <c r="D30" s="23"/>
      <c r="E30" s="15" t="s">
        <v>198</v>
      </c>
      <c r="F30" s="15"/>
      <c r="G30" s="15"/>
      <c r="H30" s="15" t="s">
        <v>199</v>
      </c>
      <c r="I30" s="15"/>
    </row>
    <row r="31" customFormat="false" ht="33.75" hidden="false" customHeight="true" outlineLevel="0" collapsed="false">
      <c r="A31" s="23" t="s">
        <v>95</v>
      </c>
      <c r="B31" s="23"/>
      <c r="C31" s="23"/>
      <c r="D31" s="23"/>
      <c r="E31" s="15" t="s">
        <v>200</v>
      </c>
      <c r="F31" s="15"/>
      <c r="G31" s="15"/>
      <c r="H31" s="15" t="s">
        <v>201</v>
      </c>
      <c r="I31" s="15"/>
    </row>
    <row r="32" customFormat="false" ht="15.75" hidden="false" customHeight="true" outlineLevel="0" collapsed="false"/>
    <row r="33" customFormat="false" ht="15.75" hidden="false" customHeight="true" outlineLevel="0" collapsed="false">
      <c r="A33" s="16" t="s">
        <v>97</v>
      </c>
    </row>
    <row r="34" customFormat="false" ht="42" hidden="false" customHeight="true" outlineLevel="0" collapsed="false">
      <c r="A34" s="26" t="s">
        <v>98</v>
      </c>
      <c r="B34" s="26" t="s">
        <v>99</v>
      </c>
      <c r="C34" s="26" t="s">
        <v>100</v>
      </c>
      <c r="D34" s="26" t="s">
        <v>101</v>
      </c>
      <c r="E34" s="26" t="s">
        <v>102</v>
      </c>
      <c r="F34" s="26" t="s">
        <v>103</v>
      </c>
      <c r="G34" s="26" t="s">
        <v>104</v>
      </c>
      <c r="H34" s="26" t="s">
        <v>105</v>
      </c>
      <c r="I34" s="26" t="s">
        <v>106</v>
      </c>
      <c r="J34" s="26" t="s">
        <v>25</v>
      </c>
      <c r="K34" s="26" t="s">
        <v>107</v>
      </c>
      <c r="L34" s="26" t="s">
        <v>108</v>
      </c>
      <c r="M34" s="26" t="s">
        <v>109</v>
      </c>
      <c r="N34" s="26" t="s">
        <v>110</v>
      </c>
      <c r="O34" s="26" t="s">
        <v>111</v>
      </c>
      <c r="P34" s="26" t="s">
        <v>112</v>
      </c>
    </row>
    <row r="35" customFormat="false" ht="73.5" hidden="false" customHeight="true" outlineLevel="0" collapsed="false">
      <c r="A35" s="27" t="s">
        <v>113</v>
      </c>
      <c r="B35" s="28" t="s">
        <v>114</v>
      </c>
      <c r="C35" s="28" t="s">
        <v>202</v>
      </c>
      <c r="D35" s="28" t="s">
        <v>116</v>
      </c>
      <c r="E35" s="28" t="s">
        <v>203</v>
      </c>
      <c r="F35" s="28" t="s">
        <v>204</v>
      </c>
      <c r="G35" s="28" t="s">
        <v>205</v>
      </c>
      <c r="H35" s="28"/>
      <c r="I35" s="27" t="n">
        <v>2</v>
      </c>
      <c r="J35" s="27" t="n">
        <v>3</v>
      </c>
      <c r="K35" s="27" t="n">
        <v>2</v>
      </c>
      <c r="L35" s="27" t="n">
        <v>3</v>
      </c>
      <c r="M35" s="29" t="n">
        <f aca="false">SUM(I35:L35)</f>
        <v>10</v>
      </c>
      <c r="N35" s="28"/>
      <c r="O35" s="28" t="s">
        <v>206</v>
      </c>
      <c r="P35" s="27" t="s">
        <v>121</v>
      </c>
    </row>
    <row r="36" customFormat="false" ht="73.5" hidden="false" customHeight="true" outlineLevel="0" collapsed="false">
      <c r="A36" s="27" t="s">
        <v>122</v>
      </c>
      <c r="B36" s="28" t="s">
        <v>114</v>
      </c>
      <c r="C36" s="28" t="s">
        <v>123</v>
      </c>
      <c r="D36" s="28" t="s">
        <v>207</v>
      </c>
      <c r="E36" s="28" t="s">
        <v>208</v>
      </c>
      <c r="F36" s="28" t="s">
        <v>209</v>
      </c>
      <c r="G36" s="28" t="s">
        <v>210</v>
      </c>
      <c r="H36" s="28"/>
      <c r="I36" s="27" t="n">
        <v>3</v>
      </c>
      <c r="J36" s="27" t="n">
        <v>2</v>
      </c>
      <c r="K36" s="27" t="n">
        <v>2</v>
      </c>
      <c r="L36" s="27" t="n">
        <v>2</v>
      </c>
      <c r="M36" s="29" t="n">
        <f aca="false">SUM(I36:L36)</f>
        <v>9</v>
      </c>
      <c r="N36" s="28"/>
      <c r="O36" s="28" t="s">
        <v>211</v>
      </c>
      <c r="P36" s="27" t="s">
        <v>129</v>
      </c>
    </row>
    <row r="37" customFormat="false" ht="15.75" hidden="false" customHeight="true" outlineLevel="0" collapsed="false"/>
    <row r="38" customFormat="false" ht="15.75" hidden="false" customHeight="true" outlineLevel="0" collapsed="false">
      <c r="A38" s="16" t="s">
        <v>130</v>
      </c>
    </row>
    <row r="39" customFormat="false" ht="42" hidden="false" customHeight="true" outlineLevel="0" collapsed="false">
      <c r="A39" s="26" t="s">
        <v>98</v>
      </c>
      <c r="B39" s="26" t="s">
        <v>99</v>
      </c>
      <c r="C39" s="26" t="s">
        <v>100</v>
      </c>
      <c r="D39" s="26" t="s">
        <v>101</v>
      </c>
      <c r="E39" s="26" t="s">
        <v>102</v>
      </c>
      <c r="F39" s="26" t="s">
        <v>103</v>
      </c>
      <c r="G39" s="26" t="s">
        <v>104</v>
      </c>
      <c r="H39" s="26" t="s">
        <v>105</v>
      </c>
      <c r="I39" s="26" t="s">
        <v>106</v>
      </c>
      <c r="J39" s="26" t="s">
        <v>25</v>
      </c>
      <c r="K39" s="26" t="s">
        <v>107</v>
      </c>
      <c r="L39" s="26" t="s">
        <v>108</v>
      </c>
      <c r="M39" s="26" t="s">
        <v>109</v>
      </c>
      <c r="N39" s="26" t="s">
        <v>110</v>
      </c>
      <c r="O39" s="26" t="s">
        <v>111</v>
      </c>
      <c r="P39" s="26" t="s">
        <v>112</v>
      </c>
    </row>
    <row r="40" customFormat="false" ht="61.5" hidden="false" customHeight="true" outlineLevel="0" collapsed="false">
      <c r="A40" s="30" t="n">
        <v>1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23" t="str">
        <f aca="false">IF(COUNT(I40:L40)=4,SUM(I40:L40),"")</f>
        <v/>
      </c>
      <c r="N40" s="23" t="str">
        <f aca="false">IF(ISNUMBER(M40),RANK(M40,$M$40:$M$45)+COUNTIF($M$40:M40,M40)-1,"")</f>
        <v/>
      </c>
      <c r="O40" s="15"/>
      <c r="P40" s="15"/>
    </row>
    <row r="41" customFormat="false" ht="61.5" hidden="false" customHeight="true" outlineLevel="0" collapsed="false">
      <c r="A41" s="30" t="n">
        <v>2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23" t="str">
        <f aca="false">IF(COUNT(I41:L41)=4,SUM(I41:L41),"")</f>
        <v/>
      </c>
      <c r="N41" s="23" t="str">
        <f aca="false">IF(ISNUMBER(M41),RANK(M41,$M$40:$M$45)+COUNTIF($M$40:M41,M41)-1,"")</f>
        <v/>
      </c>
      <c r="O41" s="15"/>
      <c r="P41" s="15"/>
    </row>
    <row r="42" customFormat="false" ht="61.5" hidden="false" customHeight="true" outlineLevel="0" collapsed="false">
      <c r="A42" s="30" t="n">
        <v>3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23" t="str">
        <f aca="false">IF(COUNT(I42:L42)=4,SUM(I42:L42),"")</f>
        <v/>
      </c>
      <c r="N42" s="23" t="str">
        <f aca="false">IF(ISNUMBER(M42),RANK(M42,$M$40:$M$45)+COUNTIF($M$40:M42,M42)-1,"")</f>
        <v/>
      </c>
      <c r="O42" s="15"/>
      <c r="P42" s="15"/>
    </row>
    <row r="43" customFormat="false" ht="61.5" hidden="false" customHeight="true" outlineLevel="0" collapsed="false">
      <c r="A43" s="30" t="n">
        <v>4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23" t="str">
        <f aca="false">IF(COUNT(I43:L43)=4,SUM(I43:L43),"")</f>
        <v/>
      </c>
      <c r="N43" s="23" t="str">
        <f aca="false">IF(ISNUMBER(M43),RANK(M43,$M$40:$M$45)+COUNTIF($M$40:M43,M43)-1,"")</f>
        <v/>
      </c>
      <c r="O43" s="15"/>
      <c r="P43" s="15"/>
    </row>
    <row r="44" customFormat="false" ht="61.5" hidden="false" customHeight="true" outlineLevel="0" collapsed="false">
      <c r="A44" s="30" t="n">
        <v>5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23" t="str">
        <f aca="false">IF(COUNT(I44:L44)=4,SUM(I44:L44),"")</f>
        <v/>
      </c>
      <c r="N44" s="23" t="str">
        <f aca="false">IF(ISNUMBER(M44),RANK(M44,$M$40:$M$45)+COUNTIF($M$40:M44,M44)-1,"")</f>
        <v/>
      </c>
      <c r="O44" s="15"/>
      <c r="P44" s="15"/>
    </row>
    <row r="45" customFormat="false" ht="61.5" hidden="false" customHeight="true" outlineLevel="0" collapsed="false">
      <c r="A45" s="30" t="n">
        <v>6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23" t="str">
        <f aca="false">IF(COUNT(I45:L45)=4,SUM(I45:L45),"")</f>
        <v/>
      </c>
      <c r="N45" s="23" t="str">
        <f aca="false">IF(ISNUMBER(M45),RANK(M45,$M$40:$M$45)+COUNTIF($M$40:M45,M45)-1,"")</f>
        <v/>
      </c>
      <c r="O45" s="15"/>
      <c r="P45" s="15"/>
    </row>
    <row r="46" customFormat="false" ht="15.75" hidden="false" customHeight="true" outlineLevel="0" collapsed="false"/>
    <row r="47" customFormat="false" ht="15.75" hidden="false" customHeight="true" outlineLevel="0" collapsed="false">
      <c r="A47" s="16" t="s">
        <v>131</v>
      </c>
    </row>
    <row r="48" customFormat="false" ht="15" hidden="false" customHeight="true" outlineLevel="0" collapsed="false">
      <c r="A48" s="18" t="s">
        <v>132</v>
      </c>
      <c r="B48" s="18"/>
      <c r="C48" s="30" t="n">
        <f aca="false">COUNTA(E40:E45)</f>
        <v>0</v>
      </c>
      <c r="D48" s="31" t="str">
        <f aca="false">IF(C48&gt;=6,"✓","✗")</f>
        <v>✗</v>
      </c>
    </row>
    <row r="49" customFormat="false" ht="34.5" hidden="false" customHeight="true" outlineLevel="0" collapsed="false">
      <c r="A49" s="18" t="s">
        <v>133</v>
      </c>
      <c r="B49" s="18"/>
      <c r="C49" s="30" t="n">
        <f aca="false" t="array" ref="C49:C49">SUMPRODUCT((B40:B45&lt;&gt;"")*(COUNTIF(B40:B45,B40:B45)&lt;&gt;3)/COUNTIF(B40:B45,B40:B45&amp;""))</f>
        <v>0</v>
      </c>
      <c r="D49" s="31" t="str">
        <f aca="false">IF(AND(C49=0,COUNTA(B40:B45)=6),"✓","✗")</f>
        <v>✗</v>
      </c>
    </row>
    <row r="50" customFormat="false" ht="23.25" hidden="false" customHeight="true" outlineLevel="0" collapsed="false">
      <c r="A50" s="18" t="s">
        <v>134</v>
      </c>
      <c r="B50" s="18"/>
      <c r="C50" s="30" t="n">
        <f aca="false" t="array" ref="C50:C50">SUMPRODUCT(--(COUNTIF(C40:C45,Довідники!$A$2:$A$6)&gt;0))</f>
        <v>0</v>
      </c>
      <c r="D50" s="31" t="str">
        <f aca="false">IF(C50&gt;=3,"✓","✗")</f>
        <v>✗</v>
      </c>
    </row>
    <row r="51" customFormat="false" ht="23.25" hidden="false" customHeight="true" outlineLevel="0" collapsed="false">
      <c r="A51" s="18" t="s">
        <v>135</v>
      </c>
      <c r="B51" s="18"/>
      <c r="C51" s="30" t="n">
        <f aca="false">COUNTIF(P40:P45,"так")</f>
        <v>0</v>
      </c>
      <c r="D51" s="31" t="str">
        <f aca="false">IF(C51&gt;=1,"✓","✗")</f>
        <v>✗</v>
      </c>
    </row>
    <row r="52" customFormat="false" ht="23.25" hidden="false" customHeight="true" outlineLevel="0" collapsed="false">
      <c r="A52" s="18" t="s">
        <v>136</v>
      </c>
      <c r="B52" s="18"/>
      <c r="C52" s="30" t="n">
        <f aca="false">SUMPRODUCT((E40:E45&lt;&gt;"")*(((F40:F45="")+(G40:G45=""))&gt;0))</f>
        <v>0</v>
      </c>
      <c r="D52" s="31" t="str">
        <f aca="false">IF(C52=0,"✓","✗")</f>
        <v>✓</v>
      </c>
    </row>
    <row r="53" customFormat="false" ht="23.25" hidden="false" customHeight="true" outlineLevel="0" collapsed="false">
      <c r="A53" s="18" t="s">
        <v>137</v>
      </c>
      <c r="B53" s="18"/>
      <c r="C53" s="30" t="n">
        <f aca="false">SUMPRODUCT((E40:E45&lt;&gt;"")*(((I40:I45="")+(J40:J45="")+(K40:K45="")+(L40:L45=""))&gt;0))</f>
        <v>0</v>
      </c>
      <c r="D53" s="31" t="str">
        <f aca="false">IF(C53=0,"✓","✗")</f>
        <v>✓</v>
      </c>
    </row>
    <row r="54" customFormat="false" ht="34.5" hidden="false" customHeight="true" outlineLevel="0" collapsed="false">
      <c r="A54" s="18" t="s">
        <v>138</v>
      </c>
      <c r="B54" s="18"/>
      <c r="C54" s="30" t="n">
        <f aca="false">SUMPRODUCT(ISNUMBER(N40:N45)*(N40:N45=1)*(O40:O45=""))</f>
        <v>0</v>
      </c>
      <c r="D54" s="31" t="str">
        <f aca="false">IF(C54=0,"✓","✗")</f>
        <v>✓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9">
    <mergeCell ref="A3:B3"/>
    <mergeCell ref="C3:F3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21:E21"/>
    <mergeCell ref="F21:L21"/>
    <mergeCell ref="B22:E22"/>
    <mergeCell ref="F22:L22"/>
    <mergeCell ref="B23:E23"/>
    <mergeCell ref="F23:L23"/>
    <mergeCell ref="A26:D26"/>
    <mergeCell ref="E26:G26"/>
    <mergeCell ref="H26:I26"/>
    <mergeCell ref="A27:D27"/>
    <mergeCell ref="E27:G27"/>
    <mergeCell ref="H27:I27"/>
    <mergeCell ref="A28:D28"/>
    <mergeCell ref="E28:G28"/>
    <mergeCell ref="H28:I28"/>
    <mergeCell ref="A29:D29"/>
    <mergeCell ref="E29:G29"/>
    <mergeCell ref="H29:I29"/>
    <mergeCell ref="A30:D30"/>
    <mergeCell ref="E30:G30"/>
    <mergeCell ref="H30:I30"/>
    <mergeCell ref="A31:D31"/>
    <mergeCell ref="E31:G31"/>
    <mergeCell ref="H31:I31"/>
    <mergeCell ref="A48:B48"/>
    <mergeCell ref="A49:B49"/>
    <mergeCell ref="A50:B50"/>
    <mergeCell ref="A51:B51"/>
    <mergeCell ref="A52:B52"/>
    <mergeCell ref="A53:B53"/>
    <mergeCell ref="A54:B54"/>
  </mergeCells>
  <dataValidations count="3">
    <dataValidation allowBlank="true" errorStyle="stop" operator="between" prompt="Бал - Бал від 1 до 3" showDropDown="false" showErrorMessage="true" showInputMessage="true" sqref="I40:L45" type="decimal">
      <formula1>1</formula1>
      <formula2>3</formula2>
    </dataValidation>
    <dataValidation allowBlank="true" errorStyle="stop" operator="between" showDropDown="false" showErrorMessage="false" showInputMessage="false" sqref="P40:P45" type="list">
      <formula1>Довідники!$C$2:$C$3</formula1>
      <formula2>0</formula2>
    </dataValidation>
    <dataValidation allowBlank="true" errorStyle="stop" operator="between" showDropDown="false" showErrorMessage="false" showInputMessage="false" sqref="C40:C45" type="list">
      <formula1>Довідники!$A$2:$A$6</formula1>
      <formula2>0</formula2>
    </dataValidation>
  </dataValidations>
  <hyperlinks>
    <hyperlink ref="F21" r:id="rId1" display="https://cert.gov.ua/"/>
    <hyperlink ref="F22" r:id="rId2" display="https://www.bleepingcomputer.com/news/security/hackers-abuse-notepad-plus-plus-plugins-to-stealthily-install-malware/"/>
    <hyperlink ref="F23" r:id="rId3" display="https://industrialcyber.co/critical-infrastructure/ukrainian-cert-details-malicious-plan-by-sandworm-group-to-disrupt-critical-infrastructure-facilitie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32"/>
    <col collapsed="false" customWidth="true" hidden="false" outlineLevel="0" max="8" min="8" style="0" width="30"/>
    <col collapsed="false" customWidth="true" hidden="false" outlineLevel="0" max="9" min="9" style="0" width="8"/>
    <col collapsed="false" customWidth="true" hidden="false" outlineLevel="0" max="10" min="10" style="0" width="7"/>
    <col collapsed="false" customWidth="true" hidden="false" outlineLevel="0" max="12" min="11" style="0" width="8"/>
    <col collapsed="false" customWidth="true" hidden="false" outlineLevel="0" max="14" min="13" style="0" width="7"/>
    <col collapsed="false" customWidth="true" hidden="false" outlineLevel="0" max="15" min="15" style="0" width="30"/>
    <col collapsed="false" customWidth="true" hidden="false" outlineLevel="0" max="16" min="16" style="0" width="9"/>
    <col collapsed="false" customWidth="true" hidden="false" outlineLevel="0" max="26" min="17" style="0" width="8.71"/>
  </cols>
  <sheetData>
    <row r="1" customFormat="false" ht="16.15" hidden="false" customHeight="false" outlineLevel="0" collapsed="false">
      <c r="A1" s="11" t="s">
        <v>212</v>
      </c>
    </row>
    <row r="2" customFormat="false" ht="15" hidden="false" customHeight="false" outlineLevel="0" collapsed="false">
      <c r="A2" s="13" t="s">
        <v>213</v>
      </c>
    </row>
    <row r="3" customFormat="false" ht="15" hidden="false" customHeight="true" outlineLevel="0" collapsed="false">
      <c r="A3" s="14" t="s">
        <v>44</v>
      </c>
      <c r="B3" s="14"/>
      <c r="C3" s="15"/>
      <c r="D3" s="15"/>
      <c r="E3" s="15"/>
      <c r="F3" s="15"/>
    </row>
    <row r="5" customFormat="false" ht="15" hidden="false" customHeight="false" outlineLevel="0" collapsed="false">
      <c r="A5" s="16" t="s">
        <v>46</v>
      </c>
    </row>
    <row r="6" customFormat="false" ht="43.5" hidden="false" customHeight="true" outlineLevel="0" collapsed="false">
      <c r="B6" s="17" t="s">
        <v>47</v>
      </c>
      <c r="C6" s="17"/>
      <c r="D6" s="18" t="s">
        <v>214</v>
      </c>
      <c r="E6" s="18"/>
      <c r="F6" s="18"/>
      <c r="G6" s="18"/>
      <c r="H6" s="18"/>
    </row>
    <row r="7" customFormat="false" ht="30" hidden="false" customHeight="true" outlineLevel="0" collapsed="false">
      <c r="B7" s="17" t="s">
        <v>49</v>
      </c>
      <c r="C7" s="17"/>
      <c r="D7" s="18" t="s">
        <v>215</v>
      </c>
      <c r="E7" s="18"/>
      <c r="F7" s="18"/>
      <c r="G7" s="18"/>
      <c r="H7" s="18"/>
    </row>
    <row r="8" customFormat="false" ht="43.5" hidden="false" customHeight="true" outlineLevel="0" collapsed="false">
      <c r="B8" s="17" t="s">
        <v>51</v>
      </c>
      <c r="C8" s="17"/>
      <c r="D8" s="18" t="s">
        <v>216</v>
      </c>
      <c r="E8" s="18"/>
      <c r="F8" s="18"/>
      <c r="G8" s="18"/>
      <c r="H8" s="18"/>
    </row>
    <row r="9" customFormat="false" ht="30" hidden="false" customHeight="true" outlineLevel="0" collapsed="false">
      <c r="B9" s="17" t="s">
        <v>53</v>
      </c>
      <c r="C9" s="17"/>
      <c r="D9" s="18" t="s">
        <v>217</v>
      </c>
      <c r="E9" s="18"/>
      <c r="F9" s="18"/>
      <c r="G9" s="18"/>
      <c r="H9" s="18"/>
    </row>
    <row r="10" customFormat="false" ht="43.5" hidden="false" customHeight="true" outlineLevel="0" collapsed="false">
      <c r="B10" s="17" t="s">
        <v>55</v>
      </c>
      <c r="C10" s="17"/>
      <c r="D10" s="18" t="s">
        <v>218</v>
      </c>
      <c r="E10" s="18"/>
      <c r="F10" s="18"/>
      <c r="G10" s="18"/>
      <c r="H10" s="18"/>
    </row>
    <row r="11" customFormat="false" ht="30" hidden="false" customHeight="true" outlineLevel="0" collapsed="false">
      <c r="B11" s="17" t="s">
        <v>57</v>
      </c>
      <c r="C11" s="17"/>
      <c r="D11" s="18" t="s">
        <v>219</v>
      </c>
      <c r="E11" s="18"/>
      <c r="F11" s="18"/>
      <c r="G11" s="18"/>
      <c r="H11" s="18"/>
    </row>
    <row r="12" customFormat="false" ht="43.5" hidden="false" customHeight="true" outlineLevel="0" collapsed="false">
      <c r="B12" s="17" t="s">
        <v>59</v>
      </c>
      <c r="C12" s="17"/>
      <c r="D12" s="18" t="s">
        <v>220</v>
      </c>
      <c r="E12" s="18"/>
      <c r="F12" s="18"/>
      <c r="G12" s="18"/>
      <c r="H12" s="18"/>
    </row>
    <row r="13" customFormat="false" ht="30" hidden="false" customHeight="true" outlineLevel="0" collapsed="false">
      <c r="B13" s="17" t="s">
        <v>61</v>
      </c>
      <c r="C13" s="17"/>
      <c r="D13" s="18" t="s">
        <v>221</v>
      </c>
      <c r="E13" s="18"/>
      <c r="F13" s="18"/>
      <c r="G13" s="18"/>
      <c r="H13" s="18"/>
    </row>
    <row r="14" customFormat="false" ht="30" hidden="false" customHeight="true" outlineLevel="0" collapsed="false">
      <c r="B14" s="17" t="s">
        <v>63</v>
      </c>
      <c r="C14" s="17"/>
      <c r="D14" s="18" t="s">
        <v>222</v>
      </c>
      <c r="E14" s="18"/>
      <c r="F14" s="18"/>
      <c r="G14" s="18"/>
      <c r="H14" s="18"/>
    </row>
    <row r="15" customFormat="false" ht="43.5" hidden="false" customHeight="true" outlineLevel="0" collapsed="false">
      <c r="B15" s="17" t="s">
        <v>65</v>
      </c>
      <c r="C15" s="17"/>
      <c r="D15" s="18" t="s">
        <v>223</v>
      </c>
      <c r="E15" s="18"/>
      <c r="F15" s="18"/>
      <c r="G15" s="18"/>
      <c r="H15" s="18"/>
    </row>
    <row r="16" customFormat="false" ht="43.5" hidden="false" customHeight="true" outlineLevel="0" collapsed="false">
      <c r="B16" s="17" t="s">
        <v>67</v>
      </c>
      <c r="C16" s="17"/>
      <c r="D16" s="18" t="s">
        <v>224</v>
      </c>
      <c r="E16" s="18"/>
      <c r="F16" s="18"/>
      <c r="G16" s="18"/>
      <c r="H16" s="18"/>
    </row>
    <row r="17" customFormat="false" ht="30" hidden="false" customHeight="true" outlineLevel="0" collapsed="false">
      <c r="B17" s="17" t="s">
        <v>69</v>
      </c>
      <c r="C17" s="17"/>
      <c r="D17" s="18" t="s">
        <v>225</v>
      </c>
      <c r="E17" s="18"/>
      <c r="F17" s="18"/>
      <c r="G17" s="18"/>
      <c r="H17" s="18"/>
    </row>
    <row r="18" customFormat="false" ht="43.5" hidden="false" customHeight="true" outlineLevel="0" collapsed="false">
      <c r="B18" s="19" t="s">
        <v>71</v>
      </c>
      <c r="C18" s="19"/>
      <c r="D18" s="20" t="s">
        <v>226</v>
      </c>
      <c r="E18" s="20"/>
      <c r="F18" s="20"/>
      <c r="G18" s="20"/>
      <c r="H18" s="20"/>
    </row>
    <row r="20" customFormat="false" ht="15" hidden="false" customHeight="false" outlineLevel="0" collapsed="false">
      <c r="A20" s="16" t="s">
        <v>73</v>
      </c>
    </row>
    <row r="21" customFormat="false" ht="15" hidden="false" customHeight="true" outlineLevel="0" collapsed="false">
      <c r="B21" s="14" t="s">
        <v>74</v>
      </c>
      <c r="C21" s="14"/>
      <c r="D21" s="14"/>
      <c r="E21" s="14"/>
      <c r="F21" s="21" t="s">
        <v>75</v>
      </c>
      <c r="G21" s="21"/>
      <c r="H21" s="21"/>
      <c r="I21" s="21"/>
      <c r="J21" s="21"/>
      <c r="K21" s="21"/>
      <c r="L21" s="21"/>
    </row>
    <row r="22" customFormat="false" ht="15" hidden="false" customHeight="true" outlineLevel="0" collapsed="false">
      <c r="B22" s="14" t="s">
        <v>191</v>
      </c>
      <c r="C22" s="14"/>
      <c r="D22" s="14"/>
      <c r="E22" s="14"/>
      <c r="F22" s="21" t="s">
        <v>192</v>
      </c>
      <c r="G22" s="21"/>
      <c r="H22" s="21"/>
      <c r="I22" s="21"/>
      <c r="J22" s="21"/>
      <c r="K22" s="21"/>
      <c r="L22" s="21"/>
    </row>
    <row r="23" customFormat="false" ht="15" hidden="false" customHeight="true" outlineLevel="0" collapsed="false">
      <c r="B23" s="14" t="s">
        <v>155</v>
      </c>
      <c r="C23" s="14"/>
      <c r="D23" s="14"/>
      <c r="E23" s="14"/>
      <c r="F23" s="21" t="s">
        <v>156</v>
      </c>
      <c r="G23" s="21"/>
      <c r="H23" s="21"/>
      <c r="I23" s="21"/>
      <c r="J23" s="21"/>
      <c r="K23" s="21"/>
      <c r="L23" s="21"/>
    </row>
    <row r="24" customFormat="false" ht="15.75" hidden="false" customHeight="true" outlineLevel="0" collapsed="false"/>
    <row r="25" customFormat="false" ht="15.75" hidden="false" customHeight="true" outlineLevel="0" collapsed="false">
      <c r="A25" s="16" t="s">
        <v>82</v>
      </c>
    </row>
    <row r="26" customFormat="false" ht="15" hidden="false" customHeight="true" outlineLevel="0" collapsed="false">
      <c r="A26" s="22" t="s">
        <v>83</v>
      </c>
      <c r="B26" s="22"/>
      <c r="C26" s="22"/>
      <c r="D26" s="22"/>
      <c r="E26" s="22" t="s">
        <v>84</v>
      </c>
      <c r="F26" s="22"/>
      <c r="G26" s="22"/>
      <c r="H26" s="22" t="s">
        <v>85</v>
      </c>
      <c r="I26" s="22"/>
    </row>
    <row r="27" customFormat="false" ht="45" hidden="false" customHeight="true" outlineLevel="0" collapsed="false">
      <c r="A27" s="23" t="s">
        <v>86</v>
      </c>
      <c r="B27" s="23"/>
      <c r="C27" s="23"/>
      <c r="D27" s="23"/>
      <c r="E27" s="24" t="s">
        <v>227</v>
      </c>
      <c r="F27" s="24"/>
      <c r="G27" s="24"/>
      <c r="H27" s="24" t="s">
        <v>88</v>
      </c>
      <c r="I27" s="24"/>
    </row>
    <row r="28" customFormat="false" ht="45" hidden="false" customHeight="true" outlineLevel="0" collapsed="false">
      <c r="A28" s="23" t="s">
        <v>89</v>
      </c>
      <c r="B28" s="23"/>
      <c r="C28" s="23"/>
      <c r="D28" s="23"/>
      <c r="E28" s="24" t="s">
        <v>228</v>
      </c>
      <c r="F28" s="24"/>
      <c r="G28" s="24"/>
      <c r="H28" s="24" t="s">
        <v>88</v>
      </c>
      <c r="I28" s="24"/>
    </row>
    <row r="29" customFormat="false" ht="70.5" hidden="false" customHeight="true" outlineLevel="0" collapsed="false">
      <c r="A29" s="23" t="s">
        <v>91</v>
      </c>
      <c r="B29" s="23"/>
      <c r="C29" s="23"/>
      <c r="D29" s="23"/>
      <c r="E29" s="24" t="s">
        <v>229</v>
      </c>
      <c r="F29" s="24"/>
      <c r="G29" s="24"/>
      <c r="H29" s="24" t="s">
        <v>230</v>
      </c>
      <c r="I29" s="24"/>
    </row>
    <row r="30" customFormat="false" ht="70.5" hidden="false" customHeight="true" outlineLevel="0" collapsed="false">
      <c r="A30" s="23" t="s">
        <v>93</v>
      </c>
      <c r="B30" s="23"/>
      <c r="C30" s="23"/>
      <c r="D30" s="23"/>
      <c r="E30" s="24" t="s">
        <v>231</v>
      </c>
      <c r="F30" s="24"/>
      <c r="G30" s="24"/>
      <c r="H30" s="24" t="s">
        <v>232</v>
      </c>
      <c r="I30" s="24"/>
    </row>
    <row r="31" customFormat="false" ht="70.5" hidden="false" customHeight="true" outlineLevel="0" collapsed="false">
      <c r="A31" s="23" t="s">
        <v>95</v>
      </c>
      <c r="B31" s="23"/>
      <c r="C31" s="23"/>
      <c r="D31" s="23"/>
      <c r="E31" s="24" t="s">
        <v>233</v>
      </c>
      <c r="F31" s="24"/>
      <c r="G31" s="24"/>
      <c r="H31" s="24" t="s">
        <v>234</v>
      </c>
      <c r="I31" s="24"/>
    </row>
    <row r="32" customFormat="false" ht="15.75" hidden="false" customHeight="true" outlineLevel="0" collapsed="false"/>
    <row r="33" customFormat="false" ht="15.75" hidden="false" customHeight="true" outlineLevel="0" collapsed="false">
      <c r="A33" s="16" t="s">
        <v>97</v>
      </c>
    </row>
    <row r="34" customFormat="false" ht="42" hidden="false" customHeight="true" outlineLevel="0" collapsed="false">
      <c r="A34" s="26" t="s">
        <v>98</v>
      </c>
      <c r="B34" s="26" t="s">
        <v>99</v>
      </c>
      <c r="C34" s="26" t="s">
        <v>100</v>
      </c>
      <c r="D34" s="26" t="s">
        <v>101</v>
      </c>
      <c r="E34" s="26" t="s">
        <v>102</v>
      </c>
      <c r="F34" s="26" t="s">
        <v>103</v>
      </c>
      <c r="G34" s="26" t="s">
        <v>104</v>
      </c>
      <c r="H34" s="26" t="s">
        <v>105</v>
      </c>
      <c r="I34" s="26" t="s">
        <v>106</v>
      </c>
      <c r="J34" s="26" t="s">
        <v>25</v>
      </c>
      <c r="K34" s="26" t="s">
        <v>107</v>
      </c>
      <c r="L34" s="26" t="s">
        <v>108</v>
      </c>
      <c r="M34" s="26" t="s">
        <v>109</v>
      </c>
      <c r="N34" s="26" t="s">
        <v>110</v>
      </c>
      <c r="O34" s="26" t="s">
        <v>111</v>
      </c>
      <c r="P34" s="26" t="s">
        <v>112</v>
      </c>
    </row>
    <row r="35" customFormat="false" ht="73.5" hidden="false" customHeight="true" outlineLevel="0" collapsed="false">
      <c r="A35" s="27" t="s">
        <v>113</v>
      </c>
      <c r="B35" s="28" t="s">
        <v>114</v>
      </c>
      <c r="C35" s="28" t="s">
        <v>123</v>
      </c>
      <c r="D35" s="28" t="s">
        <v>207</v>
      </c>
      <c r="E35" s="28" t="s">
        <v>235</v>
      </c>
      <c r="F35" s="28" t="s">
        <v>236</v>
      </c>
      <c r="G35" s="28" t="s">
        <v>237</v>
      </c>
      <c r="H35" s="28"/>
      <c r="I35" s="27" t="n">
        <v>3</v>
      </c>
      <c r="J35" s="27" t="n">
        <v>2</v>
      </c>
      <c r="K35" s="27" t="n">
        <v>3</v>
      </c>
      <c r="L35" s="27" t="n">
        <v>3</v>
      </c>
      <c r="M35" s="29" t="n">
        <f aca="false">SUM(I35:L35)</f>
        <v>11</v>
      </c>
      <c r="N35" s="28"/>
      <c r="O35" s="28" t="s">
        <v>238</v>
      </c>
      <c r="P35" s="27" t="s">
        <v>129</v>
      </c>
    </row>
    <row r="36" customFormat="false" ht="73.5" hidden="false" customHeight="true" outlineLevel="0" collapsed="false">
      <c r="A36" s="27" t="s">
        <v>122</v>
      </c>
      <c r="B36" s="28" t="s">
        <v>114</v>
      </c>
      <c r="C36" s="28" t="s">
        <v>123</v>
      </c>
      <c r="D36" s="28" t="s">
        <v>239</v>
      </c>
      <c r="E36" s="28" t="s">
        <v>240</v>
      </c>
      <c r="F36" s="28" t="s">
        <v>241</v>
      </c>
      <c r="G36" s="28" t="s">
        <v>242</v>
      </c>
      <c r="H36" s="28"/>
      <c r="I36" s="27" t="n">
        <v>2</v>
      </c>
      <c r="J36" s="27" t="n">
        <v>3</v>
      </c>
      <c r="K36" s="27" t="n">
        <v>1</v>
      </c>
      <c r="L36" s="27" t="n">
        <v>2</v>
      </c>
      <c r="M36" s="29" t="n">
        <f aca="false">SUM(I36:L36)</f>
        <v>8</v>
      </c>
      <c r="N36" s="28"/>
      <c r="O36" s="28" t="s">
        <v>243</v>
      </c>
      <c r="P36" s="27" t="s">
        <v>121</v>
      </c>
    </row>
    <row r="37" customFormat="false" ht="15.75" hidden="false" customHeight="true" outlineLevel="0" collapsed="false"/>
    <row r="38" customFormat="false" ht="15.75" hidden="false" customHeight="true" outlineLevel="0" collapsed="false">
      <c r="A38" s="16" t="s">
        <v>130</v>
      </c>
    </row>
    <row r="39" customFormat="false" ht="42" hidden="false" customHeight="true" outlineLevel="0" collapsed="false">
      <c r="A39" s="26" t="s">
        <v>98</v>
      </c>
      <c r="B39" s="26" t="s">
        <v>99</v>
      </c>
      <c r="C39" s="26" t="s">
        <v>100</v>
      </c>
      <c r="D39" s="26" t="s">
        <v>101</v>
      </c>
      <c r="E39" s="26" t="s">
        <v>102</v>
      </c>
      <c r="F39" s="26" t="s">
        <v>103</v>
      </c>
      <c r="G39" s="26" t="s">
        <v>104</v>
      </c>
      <c r="H39" s="26" t="s">
        <v>105</v>
      </c>
      <c r="I39" s="26" t="s">
        <v>106</v>
      </c>
      <c r="J39" s="26" t="s">
        <v>25</v>
      </c>
      <c r="K39" s="26" t="s">
        <v>107</v>
      </c>
      <c r="L39" s="26" t="s">
        <v>108</v>
      </c>
      <c r="M39" s="26" t="s">
        <v>109</v>
      </c>
      <c r="N39" s="26" t="s">
        <v>110</v>
      </c>
      <c r="O39" s="26" t="s">
        <v>111</v>
      </c>
      <c r="P39" s="26" t="s">
        <v>112</v>
      </c>
    </row>
    <row r="40" customFormat="false" ht="135.75" hidden="false" customHeight="true" outlineLevel="0" collapsed="false">
      <c r="A40" s="30" t="n">
        <v>1</v>
      </c>
      <c r="B40" s="24" t="s">
        <v>244</v>
      </c>
      <c r="C40" s="24" t="s">
        <v>123</v>
      </c>
      <c r="D40" s="24" t="s">
        <v>245</v>
      </c>
      <c r="E40" s="24" t="s">
        <v>246</v>
      </c>
      <c r="F40" s="24" t="s">
        <v>247</v>
      </c>
      <c r="G40" s="24" t="s">
        <v>248</v>
      </c>
      <c r="H40" s="24" t="s">
        <v>249</v>
      </c>
      <c r="I40" s="15" t="n">
        <v>3</v>
      </c>
      <c r="J40" s="15" t="n">
        <v>3</v>
      </c>
      <c r="K40" s="15" t="n">
        <v>3</v>
      </c>
      <c r="L40" s="15" t="n">
        <v>2</v>
      </c>
      <c r="M40" s="23" t="n">
        <f aca="false">IF(COUNT(I40:L40)=4,SUM(I40:L40),"")</f>
        <v>11</v>
      </c>
      <c r="N40" s="23" t="n">
        <f aca="false">IF(ISNUMBER(M40),RANK(M40,$M$40:$M$45)+COUNTIF($M$40:M40,M40)-1,"")</f>
        <v>1</v>
      </c>
      <c r="O40" s="24" t="s">
        <v>250</v>
      </c>
      <c r="P40" s="15" t="s">
        <v>129</v>
      </c>
    </row>
    <row r="41" customFormat="false" ht="135.75" hidden="false" customHeight="true" outlineLevel="0" collapsed="false">
      <c r="A41" s="30" t="n">
        <v>2</v>
      </c>
      <c r="B41" s="24" t="s">
        <v>244</v>
      </c>
      <c r="C41" s="24" t="s">
        <v>123</v>
      </c>
      <c r="D41" s="24" t="s">
        <v>251</v>
      </c>
      <c r="E41" s="24" t="s">
        <v>252</v>
      </c>
      <c r="F41" s="24" t="s">
        <v>253</v>
      </c>
      <c r="G41" s="24" t="s">
        <v>254</v>
      </c>
      <c r="H41" s="24" t="s">
        <v>255</v>
      </c>
      <c r="I41" s="15" t="n">
        <v>2</v>
      </c>
      <c r="J41" s="15" t="n">
        <v>2</v>
      </c>
      <c r="K41" s="15" t="n">
        <v>3</v>
      </c>
      <c r="L41" s="15" t="n">
        <v>3</v>
      </c>
      <c r="M41" s="23" t="n">
        <f aca="false">IF(COUNT(I41:L41)=4,SUM(I41:L41),"")</f>
        <v>10</v>
      </c>
      <c r="N41" s="23" t="n">
        <f aca="false">IF(ISNUMBER(M41),RANK(M41,$M$40:$M$45)+COUNTIF($M$40:M41,M41)-1,"")</f>
        <v>2</v>
      </c>
      <c r="O41" s="15"/>
      <c r="P41" s="15" t="s">
        <v>129</v>
      </c>
    </row>
    <row r="42" customFormat="false" ht="109.5" hidden="false" customHeight="true" outlineLevel="0" collapsed="false">
      <c r="A42" s="30" t="n">
        <v>3</v>
      </c>
      <c r="B42" s="24" t="s">
        <v>244</v>
      </c>
      <c r="C42" s="24" t="s">
        <v>202</v>
      </c>
      <c r="D42" s="24" t="s">
        <v>256</v>
      </c>
      <c r="E42" s="24" t="s">
        <v>257</v>
      </c>
      <c r="F42" s="24" t="s">
        <v>258</v>
      </c>
      <c r="G42" s="24" t="s">
        <v>259</v>
      </c>
      <c r="H42" s="24" t="s">
        <v>260</v>
      </c>
      <c r="I42" s="15" t="n">
        <v>2</v>
      </c>
      <c r="J42" s="15" t="n">
        <v>2</v>
      </c>
      <c r="K42" s="15" t="n">
        <v>2</v>
      </c>
      <c r="L42" s="15" t="n">
        <v>2</v>
      </c>
      <c r="M42" s="23" t="n">
        <f aca="false">IF(COUNT(I42:L42)=4,SUM(I42:L42),"")</f>
        <v>8</v>
      </c>
      <c r="N42" s="23" t="n">
        <f aca="false">IF(ISNUMBER(M42),RANK(M42,$M$40:$M$45)+COUNTIF($M$40:M42,M42)-1,"")</f>
        <v>5</v>
      </c>
      <c r="O42" s="15"/>
      <c r="P42" s="15" t="s">
        <v>129</v>
      </c>
    </row>
    <row r="43" customFormat="false" ht="148.5" hidden="false" customHeight="true" outlineLevel="0" collapsed="false">
      <c r="A43" s="30" t="n">
        <v>4</v>
      </c>
      <c r="B43" s="24" t="s">
        <v>261</v>
      </c>
      <c r="C43" s="24" t="s">
        <v>115</v>
      </c>
      <c r="D43" s="24" t="s">
        <v>262</v>
      </c>
      <c r="E43" s="24" t="s">
        <v>263</v>
      </c>
      <c r="F43" s="24" t="s">
        <v>264</v>
      </c>
      <c r="G43" s="24" t="s">
        <v>265</v>
      </c>
      <c r="H43" s="24" t="s">
        <v>266</v>
      </c>
      <c r="I43" s="15" t="n">
        <v>2</v>
      </c>
      <c r="J43" s="15" t="n">
        <v>3</v>
      </c>
      <c r="K43" s="15" t="n">
        <v>2</v>
      </c>
      <c r="L43" s="15" t="n">
        <v>2</v>
      </c>
      <c r="M43" s="23" t="n">
        <f aca="false">IF(COUNT(I43:L43)=4,SUM(I43:L43),"")</f>
        <v>9</v>
      </c>
      <c r="N43" s="23" t="n">
        <f aca="false">IF(ISNUMBER(M43),RANK(M43,$M$40:$M$45)+COUNTIF($M$40:M43,M43)-1,"")</f>
        <v>4</v>
      </c>
      <c r="O43" s="15"/>
      <c r="P43" s="15" t="s">
        <v>121</v>
      </c>
    </row>
    <row r="44" customFormat="false" ht="109.5" hidden="false" customHeight="true" outlineLevel="0" collapsed="false">
      <c r="A44" s="30" t="n">
        <v>5</v>
      </c>
      <c r="B44" s="24" t="s">
        <v>261</v>
      </c>
      <c r="C44" s="24" t="s">
        <v>123</v>
      </c>
      <c r="D44" s="24" t="s">
        <v>267</v>
      </c>
      <c r="E44" s="24" t="s">
        <v>268</v>
      </c>
      <c r="F44" s="24" t="s">
        <v>241</v>
      </c>
      <c r="G44" s="24" t="s">
        <v>269</v>
      </c>
      <c r="H44" s="24" t="s">
        <v>270</v>
      </c>
      <c r="I44" s="15" t="n">
        <v>2</v>
      </c>
      <c r="J44" s="15" t="n">
        <v>2</v>
      </c>
      <c r="K44" s="15" t="n">
        <v>1</v>
      </c>
      <c r="L44" s="15" t="n">
        <v>2</v>
      </c>
      <c r="M44" s="23" t="n">
        <f aca="false">IF(COUNT(I44:L44)=4,SUM(I44:L44),"")</f>
        <v>7</v>
      </c>
      <c r="N44" s="23" t="n">
        <f aca="false">IF(ISNUMBER(M44),RANK(M44,$M$40:$M$45)+COUNTIF($M$40:M44,M44)-1,"")</f>
        <v>6</v>
      </c>
      <c r="O44" s="15"/>
      <c r="P44" s="15" t="s">
        <v>121</v>
      </c>
    </row>
    <row r="45" customFormat="false" ht="96.75" hidden="false" customHeight="true" outlineLevel="0" collapsed="false">
      <c r="A45" s="30" t="n">
        <v>6</v>
      </c>
      <c r="B45" s="24" t="s">
        <v>261</v>
      </c>
      <c r="C45" s="24" t="s">
        <v>271</v>
      </c>
      <c r="D45" s="24" t="s">
        <v>272</v>
      </c>
      <c r="E45" s="24" t="s">
        <v>273</v>
      </c>
      <c r="F45" s="24" t="s">
        <v>274</v>
      </c>
      <c r="G45" s="24" t="s">
        <v>275</v>
      </c>
      <c r="H45" s="24" t="s">
        <v>276</v>
      </c>
      <c r="I45" s="15" t="n">
        <v>2</v>
      </c>
      <c r="J45" s="15" t="n">
        <v>3</v>
      </c>
      <c r="K45" s="15" t="n">
        <v>3</v>
      </c>
      <c r="L45" s="15" t="n">
        <v>2</v>
      </c>
      <c r="M45" s="23" t="n">
        <f aca="false">IF(COUNT(I45:L45)=4,SUM(I45:L45),"")</f>
        <v>10</v>
      </c>
      <c r="N45" s="23" t="n">
        <f aca="false">IF(ISNUMBER(M45),RANK(M45,$M$40:$M$45)+COUNTIF($M$40:M45,M45)-1,"")</f>
        <v>3</v>
      </c>
      <c r="O45" s="15"/>
      <c r="P45" s="15" t="s">
        <v>129</v>
      </c>
    </row>
    <row r="46" customFormat="false" ht="15.75" hidden="false" customHeight="true" outlineLevel="0" collapsed="false"/>
    <row r="47" customFormat="false" ht="15.75" hidden="false" customHeight="true" outlineLevel="0" collapsed="false">
      <c r="A47" s="16" t="s">
        <v>131</v>
      </c>
    </row>
    <row r="48" customFormat="false" ht="15" hidden="false" customHeight="true" outlineLevel="0" collapsed="false">
      <c r="A48" s="18" t="s">
        <v>132</v>
      </c>
      <c r="B48" s="18"/>
      <c r="C48" s="30" t="n">
        <f aca="false">COUNTA(E40:E45)</f>
        <v>6</v>
      </c>
      <c r="D48" s="31" t="str">
        <f aca="false">IF(C48&gt;=6,"✓","✗")</f>
        <v>✓</v>
      </c>
    </row>
    <row r="49" customFormat="false" ht="34.5" hidden="false" customHeight="true" outlineLevel="0" collapsed="false">
      <c r="A49" s="18" t="s">
        <v>133</v>
      </c>
      <c r="B49" s="18"/>
      <c r="C49" s="30" t="n">
        <f aca="false" t="array" ref="C49:C49">SUMPRODUCT((B40:B45&lt;&gt;"")*(COUNTIF(B40:B45,B40:B45)&lt;&gt;3)/COUNTIF(B40:B45,B40:B45&amp;""))</f>
        <v>0</v>
      </c>
      <c r="D49" s="31" t="str">
        <f aca="false">IF(AND(C49=0,COUNTA(B40:B45)=6),"✓","✗")</f>
        <v>✓</v>
      </c>
    </row>
    <row r="50" customFormat="false" ht="23.25" hidden="false" customHeight="true" outlineLevel="0" collapsed="false">
      <c r="A50" s="18" t="s">
        <v>134</v>
      </c>
      <c r="B50" s="18"/>
      <c r="C50" s="30" t="n">
        <f aca="false" t="array" ref="C50:C50">SUMPRODUCT(--(COUNTIF(C40:C45,Довідники!$A$2:$A$6)&gt;0))</f>
        <v>4</v>
      </c>
      <c r="D50" s="31" t="str">
        <f aca="false">IF(C50&gt;=3,"✓","✗")</f>
        <v>✓</v>
      </c>
    </row>
    <row r="51" customFormat="false" ht="23.25" hidden="false" customHeight="true" outlineLevel="0" collapsed="false">
      <c r="A51" s="18" t="s">
        <v>135</v>
      </c>
      <c r="B51" s="18"/>
      <c r="C51" s="30" t="n">
        <f aca="false">COUNTIF(P40:P45,"так")</f>
        <v>2</v>
      </c>
      <c r="D51" s="31" t="str">
        <f aca="false">IF(C51&gt;=1,"✓","✗")</f>
        <v>✓</v>
      </c>
    </row>
    <row r="52" customFormat="false" ht="23.25" hidden="false" customHeight="true" outlineLevel="0" collapsed="false">
      <c r="A52" s="18" t="s">
        <v>136</v>
      </c>
      <c r="B52" s="18"/>
      <c r="C52" s="30" t="n">
        <f aca="false">SUMPRODUCT((E40:E45&lt;&gt;"")*(((F40:F45="")+(G40:G45=""))&gt;0))</f>
        <v>0</v>
      </c>
      <c r="D52" s="31" t="str">
        <f aca="false">IF(C52=0,"✓","✗")</f>
        <v>✓</v>
      </c>
    </row>
    <row r="53" customFormat="false" ht="23.25" hidden="false" customHeight="true" outlineLevel="0" collapsed="false">
      <c r="A53" s="18" t="s">
        <v>137</v>
      </c>
      <c r="B53" s="18"/>
      <c r="C53" s="30" t="n">
        <f aca="false">SUMPRODUCT((E40:E45&lt;&gt;"")*(((I40:I45="")+(J40:J45="")+(K40:K45="")+(L40:L45=""))&gt;0))</f>
        <v>0</v>
      </c>
      <c r="D53" s="31" t="str">
        <f aca="false">IF(C53=0,"✓","✗")</f>
        <v>✓</v>
      </c>
    </row>
    <row r="54" customFormat="false" ht="34.5" hidden="false" customHeight="true" outlineLevel="0" collapsed="false">
      <c r="A54" s="18" t="s">
        <v>138</v>
      </c>
      <c r="B54" s="18"/>
      <c r="C54" s="30" t="n">
        <f aca="false">SUMPRODUCT(ISNUMBER(N40:N45)*(N40:N45=1)*(O40:O45=""))</f>
        <v>0</v>
      </c>
      <c r="D54" s="31" t="str">
        <f aca="false">IF(C54=0,"✓","✗")</f>
        <v>✓</v>
      </c>
    </row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59">
    <mergeCell ref="A3:B3"/>
    <mergeCell ref="C3:F3"/>
    <mergeCell ref="B6:C6"/>
    <mergeCell ref="D6:H6"/>
    <mergeCell ref="B7:C7"/>
    <mergeCell ref="D7:H7"/>
    <mergeCell ref="B8:C8"/>
    <mergeCell ref="D8:H8"/>
    <mergeCell ref="B9:C9"/>
    <mergeCell ref="D9:H9"/>
    <mergeCell ref="B10:C10"/>
    <mergeCell ref="D10:H10"/>
    <mergeCell ref="B11:C11"/>
    <mergeCell ref="D11:H11"/>
    <mergeCell ref="B12:C12"/>
    <mergeCell ref="D12:H12"/>
    <mergeCell ref="B13:C13"/>
    <mergeCell ref="D13:H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21:E21"/>
    <mergeCell ref="F21:L21"/>
    <mergeCell ref="B22:E22"/>
    <mergeCell ref="F22:L22"/>
    <mergeCell ref="B23:E23"/>
    <mergeCell ref="F23:L23"/>
    <mergeCell ref="A26:D26"/>
    <mergeCell ref="E26:G26"/>
    <mergeCell ref="H26:I26"/>
    <mergeCell ref="A27:D27"/>
    <mergeCell ref="E27:G27"/>
    <mergeCell ref="H27:I27"/>
    <mergeCell ref="A28:D28"/>
    <mergeCell ref="E28:G28"/>
    <mergeCell ref="H28:I28"/>
    <mergeCell ref="A29:D29"/>
    <mergeCell ref="E29:G29"/>
    <mergeCell ref="H29:I29"/>
    <mergeCell ref="A30:D30"/>
    <mergeCell ref="E30:G30"/>
    <mergeCell ref="H30:I30"/>
    <mergeCell ref="A31:D31"/>
    <mergeCell ref="E31:G31"/>
    <mergeCell ref="H31:I31"/>
    <mergeCell ref="A48:B48"/>
    <mergeCell ref="A49:B49"/>
    <mergeCell ref="A50:B50"/>
    <mergeCell ref="A51:B51"/>
    <mergeCell ref="A52:B52"/>
    <mergeCell ref="A53:B53"/>
    <mergeCell ref="A54:B54"/>
  </mergeCells>
  <dataValidations count="3">
    <dataValidation allowBlank="true" errorStyle="stop" operator="between" prompt="Бал - Бал від 1 до 3" showDropDown="false" showErrorMessage="true" showInputMessage="true" sqref="I40:L45" type="decimal">
      <formula1>1</formula1>
      <formula2>3</formula2>
    </dataValidation>
    <dataValidation allowBlank="true" errorStyle="stop" operator="between" showDropDown="false" showErrorMessage="false" showInputMessage="false" sqref="P40:P45" type="list">
      <formula1>Довідники!$C$2:$C$3</formula1>
      <formula2>0</formula2>
    </dataValidation>
    <dataValidation allowBlank="true" errorStyle="stop" operator="between" showDropDown="false" showErrorMessage="false" showInputMessage="false" sqref="C40:C45" type="list">
      <formula1>Довідники!$A$2:$A$6</formula1>
      <formula2>0</formula2>
    </dataValidation>
  </dataValidations>
  <hyperlinks>
    <hyperlink ref="F21" r:id="rId1" display="https://cert.gov.ua/"/>
    <hyperlink ref="F22" r:id="rId2" display="https://www.bleepingcomputer.com/news/security/hackers-abuse-notepad-plus-plus-plugins-to-stealthily-install-malware/"/>
    <hyperlink ref="F23" r:id="rId3" display="https://cloud.google.com/blog/topics/threat-intelligence/unc5537-snowflake-data-theft-extortion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6" min="5" style="0" width="46"/>
    <col collapsed="false" customWidth="true" hidden="false" outlineLevel="0" max="26" min="7" style="0" width="8.71"/>
  </cols>
  <sheetData>
    <row r="1" customFormat="false" ht="72.35" hidden="false" customHeight="false" outlineLevel="0" collapsed="false">
      <c r="A1" s="33" t="s">
        <v>277</v>
      </c>
    </row>
    <row r="2" customFormat="false" ht="35.05" hidden="false" customHeight="false" outlineLevel="0" collapsed="false">
      <c r="A2" s="34" t="s">
        <v>278</v>
      </c>
    </row>
    <row r="3" customFormat="false" ht="23.85" hidden="false" customHeight="false" outlineLevel="0" collapsed="false">
      <c r="A3" s="35" t="s">
        <v>279</v>
      </c>
      <c r="B3" s="35" t="s">
        <v>280</v>
      </c>
      <c r="C3" s="35" t="s">
        <v>281</v>
      </c>
      <c r="D3" s="35" t="s">
        <v>282</v>
      </c>
      <c r="E3" s="35" t="s">
        <v>283</v>
      </c>
      <c r="F3" s="35" t="s">
        <v>284</v>
      </c>
    </row>
    <row r="4" customFormat="false" ht="57.75" hidden="false" customHeight="true" outlineLevel="0" collapsed="false">
      <c r="A4" s="36" t="s">
        <v>285</v>
      </c>
      <c r="B4" s="36" t="s">
        <v>286</v>
      </c>
      <c r="C4" s="36" t="s">
        <v>287</v>
      </c>
      <c r="D4" s="36" t="n">
        <v>3</v>
      </c>
      <c r="E4" s="36" t="s">
        <v>288</v>
      </c>
      <c r="F4" s="36" t="s">
        <v>289</v>
      </c>
    </row>
    <row r="5" customFormat="false" ht="45.75" hidden="false" customHeight="true" outlineLevel="0" collapsed="false">
      <c r="A5" s="24"/>
      <c r="B5" s="24"/>
      <c r="C5" s="24"/>
      <c r="D5" s="24"/>
      <c r="E5" s="24"/>
      <c r="F5" s="24"/>
    </row>
    <row r="6" customFormat="false" ht="45.75" hidden="false" customHeight="true" outlineLevel="0" collapsed="false">
      <c r="A6" s="24"/>
      <c r="B6" s="24"/>
      <c r="C6" s="24"/>
      <c r="D6" s="24"/>
      <c r="E6" s="24"/>
      <c r="F6" s="24"/>
    </row>
    <row r="7" customFormat="false" ht="45.75" hidden="false" customHeight="true" outlineLevel="0" collapsed="false">
      <c r="A7" s="24"/>
      <c r="B7" s="24"/>
      <c r="C7" s="24"/>
      <c r="D7" s="24"/>
      <c r="E7" s="24"/>
      <c r="F7" s="24"/>
    </row>
    <row r="8" customFormat="false" ht="45.75" hidden="false" customHeight="true" outlineLevel="0" collapsed="false">
      <c r="A8" s="24"/>
      <c r="B8" s="24"/>
      <c r="C8" s="24"/>
      <c r="D8" s="24"/>
      <c r="E8" s="24"/>
      <c r="F8" s="24"/>
    </row>
    <row r="9" customFormat="false" ht="45.75" hidden="false" customHeight="true" outlineLevel="0" collapsed="false">
      <c r="A9" s="24"/>
      <c r="B9" s="24"/>
      <c r="C9" s="24"/>
      <c r="D9" s="24"/>
      <c r="E9" s="24"/>
      <c r="F9" s="24"/>
    </row>
    <row r="10" customFormat="false" ht="45.75" hidden="false" customHeight="true" outlineLevel="0" collapsed="false">
      <c r="A10" s="24"/>
      <c r="B10" s="24"/>
      <c r="C10" s="24"/>
      <c r="D10" s="24"/>
      <c r="E10" s="24"/>
      <c r="F10" s="24"/>
    </row>
    <row r="11" customFormat="false" ht="45.75" hidden="false" customHeight="true" outlineLevel="0" collapsed="false">
      <c r="A11" s="24"/>
      <c r="B11" s="24"/>
      <c r="C11" s="24"/>
      <c r="D11" s="24"/>
      <c r="E11" s="24"/>
      <c r="F11" s="24"/>
    </row>
    <row r="12" customFormat="false" ht="45.75" hidden="false" customHeight="true" outlineLevel="0" collapsed="false">
      <c r="A12" s="24"/>
      <c r="B12" s="24"/>
      <c r="C12" s="24"/>
      <c r="D12" s="24"/>
      <c r="E12" s="24"/>
      <c r="F12" s="24"/>
    </row>
    <row r="13" customFormat="false" ht="45.75" hidden="false" customHeight="true" outlineLevel="0" collapsed="false">
      <c r="A13" s="24"/>
      <c r="B13" s="24"/>
      <c r="C13" s="24"/>
      <c r="D13" s="24"/>
      <c r="E13" s="24"/>
      <c r="F13" s="24"/>
    </row>
    <row r="14" customFormat="false" ht="45.75" hidden="false" customHeight="true" outlineLevel="0" collapsed="false">
      <c r="A14" s="24"/>
      <c r="B14" s="24"/>
      <c r="C14" s="24"/>
      <c r="D14" s="24"/>
      <c r="E14" s="24"/>
      <c r="F14" s="24"/>
    </row>
    <row r="15" customFormat="false" ht="45.75" hidden="false" customHeight="true" outlineLevel="0" collapsed="false">
      <c r="A15" s="24"/>
      <c r="B15" s="24"/>
      <c r="C15" s="24"/>
      <c r="D15" s="24"/>
      <c r="E15" s="24"/>
      <c r="F15" s="24"/>
    </row>
    <row r="16" customFormat="false" ht="45.75" hidden="false" customHeight="true" outlineLevel="0" collapsed="false">
      <c r="A16" s="24"/>
      <c r="B16" s="24"/>
      <c r="C16" s="24"/>
      <c r="D16" s="24"/>
      <c r="E16" s="24"/>
      <c r="F16" s="2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zeroHeight="false" outlineLevelRow="0" outlineLevelCol="0"/>
  <cols>
    <col collapsed="false" customWidth="true" hidden="false" outlineLevel="0" max="26" min="1" style="0" width="8.71"/>
  </cols>
  <sheetData>
    <row r="1" customFormat="false" ht="15" hidden="false" customHeight="false" outlineLevel="0" collapsed="false">
      <c r="A1" s="12" t="s">
        <v>290</v>
      </c>
      <c r="C1" s="12" t="s">
        <v>291</v>
      </c>
    </row>
    <row r="2" customFormat="false" ht="15" hidden="false" customHeight="false" outlineLevel="0" collapsed="false">
      <c r="A2" s="12" t="s">
        <v>123</v>
      </c>
      <c r="C2" s="12" t="s">
        <v>121</v>
      </c>
    </row>
    <row r="3" customFormat="false" ht="15" hidden="false" customHeight="false" outlineLevel="0" collapsed="false">
      <c r="A3" s="12" t="s">
        <v>202</v>
      </c>
      <c r="C3" s="12" t="s">
        <v>129</v>
      </c>
    </row>
    <row r="4" customFormat="false" ht="15" hidden="false" customHeight="false" outlineLevel="0" collapsed="false">
      <c r="A4" s="12" t="s">
        <v>115</v>
      </c>
    </row>
    <row r="5" customFormat="false" ht="15" hidden="false" customHeight="false" outlineLevel="0" collapsed="false">
      <c r="A5" s="12" t="s">
        <v>171</v>
      </c>
    </row>
    <row r="6" customFormat="false" ht="15" hidden="false" customHeight="false" outlineLevel="0" collapsed="false">
      <c r="A6" s="12" t="s">
        <v>271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2026-10-02T21:30:28Z</dcterms:created>
  <dc:creator>openpyxl</dc:creator>
  <dc:description/>
  <dc:language>en-US</dc:language>
  <cp:lastModifiedBy/>
  <dcterms:modified xsi:type="dcterms:W3CDTF">2026-10-08T16:34:51Z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